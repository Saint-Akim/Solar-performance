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hart1 Total Monthly Cost of Ge" sheetId="2" r:id="rId5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<sst xmlns="http://schemas.openxmlformats.org/spreadsheetml/2006/main" count="6" uniqueCount="6">
  <si>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</si>
  <si>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amount(liters)</t>
  </si>
  <si>
    <t>price per litre</t>
  </si>
  <si>
    <t>Cost(Rands)</t>
  </si>
  <si>
    <t>Month_Date</t>
  </si>
  <si>
    <t>Total Monthly Cost (Rands)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</si>
</sst>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R#,##0.00"/>
    <numFmt numFmtId="166" formatCode="[$R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Total Monthly Cost of Ge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Total Monthly Cost of Generator Fuel (Rands)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Total Monthly Cost of Ge'!$A$3:$A$13</c:f>
            </c:strRef>
          </c:cat>
          <c:val>
            <c:numRef>
              <c:f>'Chart1 Total Monthly Cost of Ge'!$B$3:$B$13</c:f>
              <c:numCache/>
            </c:numRef>
          </c:val>
        </c:ser>
        <c:axId val="720011348"/>
        <c:axId val="1390779354"/>
      </c:barChart>
      <c:catAx>
        <c:axId val="720011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779354"/>
      </c:catAx>
      <c:valAx>
        <c:axId val="1390779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Monthly Cost (Rands)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0113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D32" displayName="Table1" name="Table1" id="1">
  <tableColumns count="4">
    <tableColumn name="date" id="1"/>
    <tableColumn name="amount(liters)" id="2"/>
    <tableColumn name="price per litre" id="3"/>
    <tableColumn name="Cost(Rands)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3:B13" displayName="Total_Monthly_Cost_of_Generator_Fuel_Rands_" name="Total_Monthly_Cost_of_Generator_Fuel_Rands_" id="2">
  <tableColumns count="2">
    <tableColumn name="Month_Date" id="1"/>
    <tableColumn name="Total Monthly Cost (Rands)" id="2"/>
  </tableColumns>
  <tableStyleInfo name="Chart1 Total Monthly Cost of 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18.13"/>
    <col customWidth="1" min="4" max="4" width="17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45667.0</v>
      </c>
      <c r="B2" s="3">
        <v>50.0</v>
      </c>
      <c r="C2" s="4">
        <v>18.63</v>
      </c>
      <c r="D2" s="5">
        <f t="shared" ref="D2:D31" si="1">B2*C2</f>
        <v>931.5</v>
      </c>
    </row>
    <row r="3" ht="22.5" customHeight="1">
      <c r="A3" s="2">
        <v>45680.0</v>
      </c>
      <c r="B3" s="3">
        <v>101.0</v>
      </c>
      <c r="C3" s="4">
        <v>18.63</v>
      </c>
      <c r="D3" s="5">
        <f t="shared" si="1"/>
        <v>1881.63</v>
      </c>
    </row>
    <row r="4" ht="22.5" customHeight="1">
      <c r="A4" s="2">
        <v>45688.0</v>
      </c>
      <c r="B4" s="3">
        <v>100.0</v>
      </c>
      <c r="C4" s="4">
        <v>18.63</v>
      </c>
      <c r="D4" s="5">
        <f t="shared" si="1"/>
        <v>1863</v>
      </c>
    </row>
    <row r="5" ht="22.5" customHeight="1">
      <c r="A5" s="2">
        <v>45712.0</v>
      </c>
      <c r="B5" s="3">
        <v>75.0</v>
      </c>
      <c r="C5" s="4">
        <v>18.9</v>
      </c>
      <c r="D5" s="5">
        <f t="shared" si="1"/>
        <v>1417.5</v>
      </c>
    </row>
    <row r="6" ht="22.5" customHeight="1">
      <c r="A6" s="2">
        <v>45716.0</v>
      </c>
      <c r="B6" s="3">
        <v>75.0</v>
      </c>
      <c r="C6" s="4">
        <v>18.9</v>
      </c>
      <c r="D6" s="5">
        <f t="shared" si="1"/>
        <v>1417.5</v>
      </c>
    </row>
    <row r="7" ht="22.5" customHeight="1">
      <c r="A7" s="2">
        <v>45735.0</v>
      </c>
      <c r="B7" s="3">
        <v>190.0</v>
      </c>
      <c r="C7" s="4">
        <v>19.73</v>
      </c>
      <c r="D7" s="5">
        <f t="shared" si="1"/>
        <v>3748.7</v>
      </c>
    </row>
    <row r="8" ht="22.5" customHeight="1">
      <c r="A8" s="2">
        <v>45740.0</v>
      </c>
      <c r="B8" s="3">
        <v>200.0</v>
      </c>
      <c r="C8" s="4">
        <v>19.73</v>
      </c>
      <c r="D8" s="5">
        <f t="shared" si="1"/>
        <v>3946</v>
      </c>
    </row>
    <row r="9" ht="22.5" customHeight="1">
      <c r="A9" s="2">
        <v>45755.0</v>
      </c>
      <c r="B9" s="3">
        <v>100.0</v>
      </c>
      <c r="C9" s="4">
        <v>18.63</v>
      </c>
      <c r="D9" s="5">
        <f t="shared" si="1"/>
        <v>1863</v>
      </c>
    </row>
    <row r="10" ht="22.5" customHeight="1">
      <c r="A10" s="2">
        <v>45761.0</v>
      </c>
      <c r="B10" s="3">
        <v>75.0</v>
      </c>
      <c r="C10" s="4">
        <v>18.63</v>
      </c>
      <c r="D10" s="5">
        <f t="shared" si="1"/>
        <v>1397.25</v>
      </c>
    </row>
    <row r="11" ht="22.5" customHeight="1">
      <c r="A11" s="2">
        <v>45776.0</v>
      </c>
      <c r="B11" s="3">
        <v>100.0</v>
      </c>
      <c r="C11" s="4">
        <v>18.63</v>
      </c>
      <c r="D11" s="5">
        <f t="shared" si="1"/>
        <v>1863</v>
      </c>
    </row>
    <row r="12" ht="22.5" customHeight="1">
      <c r="A12" s="2">
        <v>45778.0</v>
      </c>
      <c r="B12" s="3">
        <v>100.0</v>
      </c>
      <c r="C12" s="4">
        <v>18.42</v>
      </c>
      <c r="D12" s="5">
        <f t="shared" si="1"/>
        <v>1842</v>
      </c>
    </row>
    <row r="13" ht="22.5" customHeight="1">
      <c r="A13" s="2">
        <v>45783.0</v>
      </c>
      <c r="B13" s="3">
        <v>100.0</v>
      </c>
      <c r="C13" s="4">
        <v>18.42</v>
      </c>
      <c r="D13" s="5">
        <f t="shared" si="1"/>
        <v>1842</v>
      </c>
    </row>
    <row r="14" ht="22.5" customHeight="1">
      <c r="A14" s="2">
        <v>45797.0</v>
      </c>
      <c r="B14" s="3">
        <v>150.0</v>
      </c>
      <c r="C14" s="4">
        <v>18.42</v>
      </c>
      <c r="D14" s="5">
        <f t="shared" si="1"/>
        <v>2763</v>
      </c>
    </row>
    <row r="15" ht="22.5" customHeight="1">
      <c r="A15" s="2">
        <v>45803.0</v>
      </c>
      <c r="B15" s="3">
        <v>100.0</v>
      </c>
      <c r="C15" s="4">
        <v>18.42</v>
      </c>
      <c r="D15" s="5">
        <f t="shared" si="1"/>
        <v>1842</v>
      </c>
    </row>
    <row r="16" ht="22.5" customHeight="1">
      <c r="A16" s="2">
        <v>45804.0</v>
      </c>
      <c r="B16" s="3">
        <v>100.0</v>
      </c>
      <c r="C16" s="4">
        <v>18.42</v>
      </c>
      <c r="D16" s="5">
        <f t="shared" si="1"/>
        <v>1842</v>
      </c>
    </row>
    <row r="17" ht="22.5" customHeight="1">
      <c r="A17" s="2">
        <v>45811.0</v>
      </c>
      <c r="B17" s="3">
        <v>100.0</v>
      </c>
      <c r="C17" s="4">
        <v>18.42</v>
      </c>
      <c r="D17" s="5">
        <f t="shared" si="1"/>
        <v>1842</v>
      </c>
    </row>
    <row r="18" ht="22.5" customHeight="1">
      <c r="A18" s="2">
        <v>45817.0</v>
      </c>
      <c r="B18" s="3">
        <v>50.0</v>
      </c>
      <c r="C18" s="4">
        <v>18.05</v>
      </c>
      <c r="D18" s="5">
        <f t="shared" si="1"/>
        <v>902.5</v>
      </c>
    </row>
    <row r="19" ht="22.5" customHeight="1">
      <c r="A19" s="2">
        <v>45825.0</v>
      </c>
      <c r="B19" s="3">
        <v>201.0</v>
      </c>
      <c r="C19" s="4">
        <v>18.05</v>
      </c>
      <c r="D19" s="5">
        <f t="shared" si="1"/>
        <v>3628.05</v>
      </c>
    </row>
    <row r="20" ht="22.5" customHeight="1">
      <c r="A20" s="2">
        <v>45826.0</v>
      </c>
      <c r="B20" s="3">
        <v>175.0</v>
      </c>
      <c r="C20" s="4">
        <v>18.05</v>
      </c>
      <c r="D20" s="5">
        <f t="shared" si="1"/>
        <v>3158.75</v>
      </c>
    </row>
    <row r="21" ht="22.5" customHeight="1">
      <c r="A21" s="2">
        <v>45831.0</v>
      </c>
      <c r="B21" s="3">
        <v>100.0</v>
      </c>
      <c r="C21" s="4">
        <v>18.05</v>
      </c>
      <c r="D21" s="5">
        <f t="shared" si="1"/>
        <v>1805</v>
      </c>
    </row>
    <row r="22" ht="22.5" customHeight="1">
      <c r="A22" s="2">
        <v>45832.0</v>
      </c>
      <c r="B22" s="3">
        <v>100.0</v>
      </c>
      <c r="C22" s="4">
        <v>18.05</v>
      </c>
      <c r="D22" s="5">
        <f t="shared" si="1"/>
        <v>1805</v>
      </c>
    </row>
    <row r="23" ht="22.5" customHeight="1">
      <c r="A23" s="2">
        <v>45839.0</v>
      </c>
      <c r="B23" s="3">
        <v>100.0</v>
      </c>
      <c r="C23" s="4">
        <v>18.88</v>
      </c>
      <c r="D23" s="5">
        <f t="shared" si="1"/>
        <v>1888</v>
      </c>
    </row>
    <row r="24" ht="22.5" customHeight="1">
      <c r="A24" s="2">
        <v>45848.0</v>
      </c>
      <c r="B24" s="3">
        <v>204.0</v>
      </c>
      <c r="C24" s="4">
        <v>18.88</v>
      </c>
      <c r="D24" s="5">
        <f t="shared" si="1"/>
        <v>3851.52</v>
      </c>
    </row>
    <row r="25" ht="22.5" customHeight="1">
      <c r="A25" s="2">
        <v>45859.0</v>
      </c>
      <c r="B25" s="3">
        <v>100.0</v>
      </c>
      <c r="C25" s="4">
        <v>18.88</v>
      </c>
      <c r="D25" s="5">
        <f t="shared" si="1"/>
        <v>1888</v>
      </c>
    </row>
    <row r="26" ht="22.5" customHeight="1">
      <c r="A26" s="2">
        <v>45874.0</v>
      </c>
      <c r="B26" s="3">
        <v>100.0</v>
      </c>
      <c r="C26" s="4">
        <v>19.52</v>
      </c>
      <c r="D26" s="5">
        <f t="shared" si="1"/>
        <v>1952</v>
      </c>
    </row>
    <row r="27" ht="22.5" customHeight="1">
      <c r="A27" s="2">
        <v>45876.0</v>
      </c>
      <c r="B27" s="3">
        <v>100.0</v>
      </c>
      <c r="C27" s="4">
        <v>19.52</v>
      </c>
      <c r="D27" s="5">
        <f t="shared" si="1"/>
        <v>1952</v>
      </c>
    </row>
    <row r="28" ht="22.5" customHeight="1">
      <c r="A28" s="2">
        <v>45877.0</v>
      </c>
      <c r="B28" s="3">
        <v>75.0</v>
      </c>
      <c r="C28" s="4">
        <v>19.52</v>
      </c>
      <c r="D28" s="5">
        <f t="shared" si="1"/>
        <v>1464</v>
      </c>
    </row>
    <row r="29" ht="22.5" customHeight="1">
      <c r="A29" s="2">
        <v>45902.0</v>
      </c>
      <c r="B29" s="3">
        <v>100.0</v>
      </c>
      <c r="C29" s="4">
        <v>18.95</v>
      </c>
      <c r="D29" s="5">
        <f t="shared" si="1"/>
        <v>1895</v>
      </c>
    </row>
    <row r="30" ht="22.5" customHeight="1">
      <c r="A30" s="2">
        <v>45905.0</v>
      </c>
      <c r="B30" s="3">
        <v>200.0</v>
      </c>
      <c r="C30" s="4">
        <v>18.95</v>
      </c>
      <c r="D30" s="5">
        <f t="shared" si="1"/>
        <v>3790</v>
      </c>
    </row>
    <row r="31" ht="22.5" customHeight="1">
      <c r="A31" s="2">
        <v>45936.0</v>
      </c>
      <c r="B31" s="3">
        <v>75.0</v>
      </c>
      <c r="C31" s="4">
        <v>18.96</v>
      </c>
      <c r="D31" s="5">
        <f t="shared" si="1"/>
        <v>1422</v>
      </c>
    </row>
    <row r="32" ht="22.5" customHeight="1">
      <c r="A32" s="6"/>
      <c r="B32" s="7">
        <f>SUM(B2:B31)</f>
        <v>3396</v>
      </c>
      <c r="C32" s="8">
        <f>D32/B32</f>
        <v>18.75851001</v>
      </c>
      <c r="D32" s="9">
        <f>SUM(D2:D31)</f>
        <v>63703.9</v>
      </c>
    </row>
    <row r="33">
      <c r="C33" s="10"/>
      <c r="D33" s="11"/>
    </row>
    <row r="34">
      <c r="C34" s="10"/>
      <c r="D34" s="11"/>
    </row>
    <row r="35">
      <c r="C35" s="10"/>
      <c r="D35" s="11"/>
      <c r="E35" s="12"/>
    </row>
  </sheetData>
  <dataValidations>
    <dataValidation type="custom" allowBlank="1" showDropDown="1" sqref="A2:A32">
      <formula1>OR(NOT(ISERROR(DATEVALUE(A2))), AND(ISNUMBER(A2), LEFT(CELL("format", A2))="D"))</formula1>
    </dataValidation>
    <dataValidation type="custom" allowBlank="1" showDropDown="1" sqref="C2:D3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13" t="s">
        <v>4</v>
      </c>
      <c r="B3" s="13" t="s">
        <v>5</v>
      </c>
    </row>
    <row r="4" ht="22.5" customHeight="1">
      <c r="A4" s="14">
        <v>45658.0</v>
      </c>
      <c r="B4" s="15">
        <v>4676.13</v>
      </c>
    </row>
    <row r="5" ht="22.5" customHeight="1">
      <c r="A5" s="14">
        <v>45689.0</v>
      </c>
      <c r="B5" s="15">
        <v>2835.0</v>
      </c>
    </row>
    <row r="6" ht="22.5" customHeight="1">
      <c r="A6" s="14">
        <v>45717.0</v>
      </c>
      <c r="B6" s="15">
        <v>7694.7</v>
      </c>
    </row>
    <row r="7" ht="22.5" customHeight="1">
      <c r="A7" s="14">
        <v>45748.0</v>
      </c>
      <c r="B7" s="15">
        <v>5123.25</v>
      </c>
    </row>
    <row r="8" ht="22.5" customHeight="1">
      <c r="A8" s="14">
        <v>45778.0</v>
      </c>
      <c r="B8" s="15">
        <v>10131.0</v>
      </c>
    </row>
    <row r="9" ht="22.5" customHeight="1">
      <c r="A9" s="14">
        <v>45809.0</v>
      </c>
      <c r="B9" s="15">
        <v>13141.3</v>
      </c>
    </row>
    <row r="10" ht="22.5" customHeight="1">
      <c r="A10" s="14">
        <v>45839.0</v>
      </c>
      <c r="B10" s="15">
        <v>7627.52</v>
      </c>
    </row>
    <row r="11" ht="22.5" customHeight="1">
      <c r="A11" s="14">
        <v>45870.0</v>
      </c>
      <c r="B11" s="15">
        <v>5368.0</v>
      </c>
    </row>
    <row r="12" ht="22.5" customHeight="1">
      <c r="A12" s="14">
        <v>45901.0</v>
      </c>
      <c r="B12" s="15">
        <v>5685.0</v>
      </c>
    </row>
    <row r="13" ht="22.5" customHeight="1">
      <c r="A13" s="14">
        <v>45931.0</v>
      </c>
      <c r="B13" s="15">
        <v>1422.0</v>
      </c>
    </row>
  </sheetData>
  <dataValidations>
    <dataValidation type="custom" allowBlank="1" showDropDown="1" sqref="A4:A13">
      <formula1>OR(NOT(ISERROR(DATEVALUE(A4))), AND(ISNUMBER(A4), LEFT(CELL("format", A4))="D"))</formula1>
    </dataValidation>
    <dataValidation type="custom" allowBlank="1" showDropDown="1" sqref="B4:B1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