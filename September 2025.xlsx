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ept 2025" sheetId="1" r:id="rId4"/>
  </sheets>
  <definedNames/>
  <calcPr/>
</workbook>
</file>

<file path=xl/sharedStrings.xml><?xml version="1.0" encoding="utf-8"?>
<sst xmlns="http://schemas.openxmlformats.org/spreadsheetml/2006/main" count="20" uniqueCount="20">
  <si>
    <t>Sept'25</t>
  </si>
  <si>
    <t>Date from:</t>
  </si>
  <si>
    <t>03/09/25</t>
  </si>
  <si>
    <t>Date to:</t>
  </si>
  <si>
    <t>30/09/25</t>
  </si>
  <si>
    <t>No of days:</t>
  </si>
  <si>
    <t>BASIC</t>
  </si>
  <si>
    <t>UNITS</t>
  </si>
  <si>
    <t>COST / UNIT</t>
  </si>
  <si>
    <t>TOTAL UNIT COST</t>
  </si>
  <si>
    <t>WATER</t>
  </si>
  <si>
    <t>TOTAL</t>
  </si>
  <si>
    <t>FREEDOM VILLAGE(14462024):</t>
  </si>
  <si>
    <t>BOERDERY (17170033):</t>
  </si>
  <si>
    <t xml:space="preserve"> - Johan &amp; Stoor</t>
  </si>
  <si>
    <t xml:space="preserve"> - Pomp, Willie, Gaste, Comp</t>
  </si>
  <si>
    <t xml:space="preserve"> - Werkers</t>
  </si>
  <si>
    <t>BOTTLING(17170033):</t>
  </si>
  <si>
    <t>SHORTFALL:</t>
  </si>
  <si>
    <t>DRAKENSTEIN ACCOUNT: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</si>
</sst>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&quot;R&quot;#,##0.00"/>
    <numFmt numFmtId="165" formatCode="&quot;R&quot;#,##0.0"/>
  </numFmts>
  <fonts count="11">
    <font>
      <sz val="10.0"/>
      <color rgb="FF000000"/>
      <name val="Arial"/>
      <scheme val="minor"/>
    </font>
    <font>
      <b/>
      <sz val="18.0"/>
      <color theme="1"/>
      <name val="Arial"/>
    </font>
    <font>
      <sz val="11.0"/>
      <color theme="1"/>
      <name val="Arial"/>
    </font>
    <font>
      <b/>
      <u/>
      <sz val="11.0"/>
      <color theme="1"/>
      <name val="Arial"/>
    </font>
    <font>
      <b/>
      <u/>
      <sz val="11.0"/>
      <color theme="1"/>
      <name val="Arial"/>
    </font>
    <font>
      <b/>
      <u/>
      <sz val="11.0"/>
      <color theme="1"/>
      <name val="Arial"/>
    </font>
    <font>
      <b/>
      <u/>
      <sz val="11.0"/>
      <color theme="1"/>
      <name val="Arial"/>
    </font>
    <font>
      <b/>
      <u/>
      <sz val="11.0"/>
      <color theme="1"/>
      <name val="Arial"/>
    </font>
    <font>
      <b/>
      <sz val="11.0"/>
      <color theme="1"/>
      <name val="Arial"/>
    </font>
    <font>
      <b/>
      <i/>
      <sz val="11.0"/>
      <color rgb="FFFF0000"/>
      <name val="Arial"/>
    </font>
    <font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DEEAF6"/>
        <bgColor rgb="FFDEEAF6"/>
      </patternFill>
    </fill>
  </fills>
  <borders count="5">
    <border/>
    <border>
      <left/>
      <right/>
      <top/>
      <bottom/>
    </border>
    <border>
      <bottom style="thin">
        <color rgb="FF000000"/>
      </bottom>
    </border>
    <border>
      <top style="thin">
        <color rgb="FF000000"/>
      </top>
    </border>
    <border>
      <top style="thin">
        <color rgb="FF000000"/>
      </top>
      <bottom style="double">
        <color rgb="FF000000"/>
      </bottom>
    </border>
  </borders>
  <cellStyleXfs count="1">
    <xf borderId="0" fillId="0" fontId="0" numFmtId="0" applyAlignment="1" applyFont="1"/>
  </cellStyleXfs>
  <cellXfs count="36">
    <xf borderId="0" fillId="0" fontId="0" numFmtId="0" xfId="0" applyAlignment="1" applyFont="1">
      <alignment readingOrder="0" shrinkToFit="0" vertical="bottom" wrapText="0"/>
    </xf>
    <xf quotePrefix="1" borderId="1" fillId="2" fontId="1" numFmtId="0" xfId="0" applyAlignment="1" applyBorder="1" applyFill="1" applyFont="1">
      <alignment horizontal="center" readingOrder="0"/>
    </xf>
    <xf borderId="0" fillId="0" fontId="2" numFmtId="0" xfId="0" applyFont="1"/>
    <xf borderId="0" fillId="0" fontId="2" numFmtId="1" xfId="0" applyFont="1" applyNumberFormat="1"/>
    <xf borderId="0" fillId="0" fontId="2" numFmtId="164" xfId="0" applyFont="1" applyNumberFormat="1"/>
    <xf borderId="0" fillId="0" fontId="2" numFmtId="165" xfId="0" applyFont="1" applyNumberFormat="1"/>
    <xf borderId="0" fillId="0" fontId="2" numFmtId="0" xfId="0" applyAlignment="1" applyFont="1">
      <alignment horizontal="center"/>
    </xf>
    <xf quotePrefix="1" borderId="0" fillId="0" fontId="2" numFmtId="0" xfId="0" applyAlignment="1" applyFont="1">
      <alignment horizontal="center" readingOrder="0"/>
    </xf>
    <xf borderId="0" fillId="0" fontId="2" numFmtId="0" xfId="0" applyAlignment="1" applyFont="1">
      <alignment horizontal="center" readingOrder="0"/>
    </xf>
    <xf borderId="0" fillId="0" fontId="3" numFmtId="0" xfId="0" applyAlignment="1" applyFont="1">
      <alignment horizontal="center"/>
    </xf>
    <xf borderId="0" fillId="0" fontId="4" numFmtId="1" xfId="0" applyAlignment="1" applyFont="1" applyNumberFormat="1">
      <alignment horizontal="center"/>
    </xf>
    <xf borderId="0" fillId="0" fontId="5" numFmtId="164" xfId="0" applyAlignment="1" applyFont="1" applyNumberFormat="1">
      <alignment horizontal="center"/>
    </xf>
    <xf borderId="0" fillId="0" fontId="6" numFmtId="165" xfId="0" applyAlignment="1" applyFont="1" applyNumberFormat="1">
      <alignment horizontal="center"/>
    </xf>
    <xf borderId="1" fillId="2" fontId="7" numFmtId="164" xfId="0" applyAlignment="1" applyBorder="1" applyFont="1" applyNumberFormat="1">
      <alignment horizontal="center"/>
    </xf>
    <xf borderId="0" fillId="0" fontId="8" numFmtId="0" xfId="0" applyFont="1"/>
    <xf borderId="1" fillId="3" fontId="2" numFmtId="164" xfId="0" applyAlignment="1" applyBorder="1" applyFill="1" applyFont="1" applyNumberFormat="1">
      <alignment horizontal="center"/>
    </xf>
    <xf borderId="1" fillId="3" fontId="2" numFmtId="1" xfId="0" applyAlignment="1" applyBorder="1" applyFont="1" applyNumberFormat="1">
      <alignment horizontal="center" readingOrder="0"/>
    </xf>
    <xf borderId="1" fillId="3" fontId="2" numFmtId="165" xfId="0" applyAlignment="1" applyBorder="1" applyFont="1" applyNumberFormat="1">
      <alignment horizontal="center"/>
    </xf>
    <xf borderId="1" fillId="3" fontId="8" numFmtId="164" xfId="0" applyAlignment="1" applyBorder="1" applyFont="1" applyNumberFormat="1">
      <alignment horizontal="center"/>
    </xf>
    <xf borderId="0" fillId="0" fontId="2" numFmtId="164" xfId="0" applyAlignment="1" applyFont="1" applyNumberFormat="1">
      <alignment horizontal="center"/>
    </xf>
    <xf borderId="1" fillId="3" fontId="2" numFmtId="164" xfId="0" applyAlignment="1" applyBorder="1" applyFont="1" applyNumberFormat="1">
      <alignment horizontal="center" readingOrder="0"/>
    </xf>
    <xf borderId="0" fillId="0" fontId="2" numFmtId="165" xfId="0" applyAlignment="1" applyFont="1" applyNumberFormat="1">
      <alignment horizontal="center"/>
    </xf>
    <xf borderId="0" fillId="0" fontId="2" numFmtId="1" xfId="0" applyAlignment="1" applyFont="1" applyNumberFormat="1">
      <alignment horizontal="center" readingOrder="0"/>
    </xf>
    <xf borderId="0" fillId="0" fontId="2" numFmtId="164" xfId="0" applyAlignment="1" applyFont="1" applyNumberFormat="1">
      <alignment horizontal="center" readingOrder="0"/>
    </xf>
    <xf borderId="2" fillId="0" fontId="2" numFmtId="164" xfId="0" applyBorder="1" applyFont="1" applyNumberFormat="1"/>
    <xf borderId="2" fillId="0" fontId="2" numFmtId="1" xfId="0" applyAlignment="1" applyBorder="1" applyFont="1" applyNumberFormat="1">
      <alignment horizontal="center" readingOrder="0"/>
    </xf>
    <xf borderId="2" fillId="0" fontId="2" numFmtId="164" xfId="0" applyAlignment="1" applyBorder="1" applyFont="1" applyNumberFormat="1">
      <alignment horizontal="center"/>
    </xf>
    <xf borderId="2" fillId="0" fontId="2" numFmtId="165" xfId="0" applyAlignment="1" applyBorder="1" applyFont="1" applyNumberFormat="1">
      <alignment horizontal="center"/>
    </xf>
    <xf borderId="1" fillId="3" fontId="8" numFmtId="1" xfId="0" applyAlignment="1" applyBorder="1" applyFont="1" applyNumberFormat="1">
      <alignment horizontal="center"/>
    </xf>
    <xf borderId="1" fillId="3" fontId="2" numFmtId="0" xfId="0" applyAlignment="1" applyBorder="1" applyFont="1">
      <alignment horizontal="center"/>
    </xf>
    <xf borderId="1" fillId="3" fontId="2" numFmtId="1" xfId="0" applyAlignment="1" applyBorder="1" applyFont="1" applyNumberFormat="1">
      <alignment horizontal="center"/>
    </xf>
    <xf borderId="3" fillId="0" fontId="8" numFmtId="164" xfId="0" applyAlignment="1" applyBorder="1" applyFont="1" applyNumberFormat="1">
      <alignment horizontal="center"/>
    </xf>
    <xf borderId="0" fillId="0" fontId="9" numFmtId="0" xfId="0" applyFont="1"/>
    <xf borderId="0" fillId="0" fontId="9" numFmtId="164" xfId="0" applyAlignment="1" applyFont="1" applyNumberFormat="1">
      <alignment horizontal="center"/>
    </xf>
    <xf borderId="4" fillId="0" fontId="8" numFmtId="164" xfId="0" applyAlignment="1" applyBorder="1" applyFont="1" applyNumberFormat="1">
      <alignment horizontal="center" readingOrder="0"/>
    </xf>
    <xf borderId="0" fillId="0" fontId="10" numFmtId="1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75"/>
  <cols>
    <col customWidth="1" min="1" max="1" width="28.63"/>
    <col customWidth="1" min="2" max="4" width="16.38"/>
    <col customWidth="1" min="5" max="5" width="18.13"/>
    <col customWidth="1" min="6" max="7" width="16.38"/>
    <col customWidth="1" min="8" max="26" width="7.63"/>
  </cols>
  <sheetData>
    <row r="1" ht="23.25" customHeight="1">
      <c r="A1" s="1" t="s">
        <v>0</v>
      </c>
      <c r="B1" s="2"/>
      <c r="C1" s="3"/>
      <c r="D1" s="2"/>
      <c r="E1" s="4"/>
      <c r="F1" s="5"/>
      <c r="G1" s="4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8.0" customHeight="1">
      <c r="A2" s="6" t="s">
        <v>1</v>
      </c>
      <c r="B2" s="7" t="s">
        <v>2</v>
      </c>
      <c r="C2" s="3"/>
      <c r="D2" s="2"/>
      <c r="E2" s="4"/>
      <c r="F2" s="5"/>
      <c r="G2" s="4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18.0" customHeight="1">
      <c r="A3" s="6" t="s">
        <v>3</v>
      </c>
      <c r="B3" s="7" t="s">
        <v>4</v>
      </c>
      <c r="C3" s="3"/>
      <c r="D3" s="2"/>
      <c r="E3" s="4"/>
      <c r="F3" s="5"/>
      <c r="G3" s="4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18.0" customHeight="1">
      <c r="A4" s="6" t="s">
        <v>5</v>
      </c>
      <c r="B4" s="8">
        <v>27.0</v>
      </c>
      <c r="C4" s="3"/>
      <c r="D4" s="2"/>
      <c r="E4" s="4"/>
      <c r="F4" s="5"/>
      <c r="G4" s="4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18.0" customHeight="1">
      <c r="A5" s="6"/>
      <c r="B5" s="6"/>
      <c r="C5" s="3"/>
      <c r="D5" s="2"/>
      <c r="E5" s="4"/>
      <c r="F5" s="5"/>
      <c r="G5" s="4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18.0" customHeight="1">
      <c r="A6" s="6"/>
      <c r="B6" s="9" t="s">
        <v>6</v>
      </c>
      <c r="C6" s="10" t="s">
        <v>7</v>
      </c>
      <c r="D6" s="9" t="s">
        <v>8</v>
      </c>
      <c r="E6" s="11" t="s">
        <v>9</v>
      </c>
      <c r="F6" s="12" t="s">
        <v>10</v>
      </c>
      <c r="G6" s="13" t="s">
        <v>11</v>
      </c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18.0" customHeight="1">
      <c r="A7" s="14" t="s">
        <v>12</v>
      </c>
      <c r="B7" s="15">
        <f>9021.1*0.5</f>
        <v>4510.55</v>
      </c>
      <c r="C7" s="16">
        <v>6697.0</v>
      </c>
      <c r="D7" s="15">
        <f>23717.04/7952</f>
        <v>2.982525151</v>
      </c>
      <c r="E7" s="15">
        <f>C7*D7</f>
        <v>19973.97094</v>
      </c>
      <c r="F7" s="17">
        <f>85.92/4</f>
        <v>21.48</v>
      </c>
      <c r="G7" s="18">
        <f>SUM(B7+E7+F7)</f>
        <v>24506.00094</v>
      </c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18.0" customHeight="1">
      <c r="A8" s="2"/>
      <c r="B8" s="4"/>
      <c r="C8" s="3"/>
      <c r="D8" s="2"/>
      <c r="E8" s="4"/>
      <c r="F8" s="5"/>
      <c r="G8" s="4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18.0" customHeight="1">
      <c r="A9" s="14" t="s">
        <v>13</v>
      </c>
      <c r="B9" s="19"/>
      <c r="C9" s="16">
        <v>19436.0</v>
      </c>
      <c r="D9" s="6"/>
      <c r="E9" s="20">
        <v>57968.36</v>
      </c>
      <c r="F9" s="21"/>
      <c r="G9" s="19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18.0" customHeight="1">
      <c r="A10" s="2" t="s">
        <v>14</v>
      </c>
      <c r="B10" s="4"/>
      <c r="C10" s="22">
        <v>2806.6</v>
      </c>
      <c r="D10" s="19">
        <f>E9/C9</f>
        <v>2.982525211</v>
      </c>
      <c r="E10" s="19">
        <f>(C10*D10)+0.16</f>
        <v>8370.915257</v>
      </c>
      <c r="F10" s="21"/>
      <c r="G10" s="19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18.0" customHeight="1">
      <c r="A11" s="2" t="s">
        <v>15</v>
      </c>
      <c r="B11" s="4"/>
      <c r="C11" s="22">
        <v>1745.1</v>
      </c>
      <c r="D11" s="23">
        <f>E9/C9</f>
        <v>2.982525211</v>
      </c>
      <c r="E11" s="19">
        <f t="shared" ref="E11:E12" si="1">C11*D11</f>
        <v>5204.804746</v>
      </c>
      <c r="F11" s="21"/>
      <c r="G11" s="19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18.0" customHeight="1">
      <c r="A12" s="2" t="s">
        <v>16</v>
      </c>
      <c r="B12" s="24"/>
      <c r="C12" s="25">
        <v>1400.0</v>
      </c>
      <c r="D12" s="26">
        <f>E9/C9</f>
        <v>2.982525211</v>
      </c>
      <c r="E12" s="26">
        <f t="shared" si="1"/>
        <v>4175.535295</v>
      </c>
      <c r="F12" s="27"/>
      <c r="G12" s="26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18.0" customHeight="1">
      <c r="A13" s="2"/>
      <c r="B13" s="15">
        <f>9021.1/4</f>
        <v>2255.275</v>
      </c>
      <c r="C13" s="28">
        <f>SUM(C10:C12)</f>
        <v>5951.7</v>
      </c>
      <c r="D13" s="29"/>
      <c r="E13" s="18">
        <f>SUM(E10:E12)</f>
        <v>17751.2553</v>
      </c>
      <c r="F13" s="17">
        <f>85.92/4</f>
        <v>21.48</v>
      </c>
      <c r="G13" s="18">
        <f>B13+E13+F13</f>
        <v>20028.0103</v>
      </c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18.0" customHeight="1">
      <c r="A14" s="2"/>
      <c r="B14" s="4"/>
      <c r="C14" s="3"/>
      <c r="D14" s="2"/>
      <c r="E14" s="4"/>
      <c r="F14" s="5"/>
      <c r="G14" s="4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18.0" customHeight="1">
      <c r="A15" s="14" t="s">
        <v>17</v>
      </c>
      <c r="B15" s="15">
        <f>9021.1/4</f>
        <v>2255.275</v>
      </c>
      <c r="C15" s="30">
        <f>C9-C13</f>
        <v>13484.3</v>
      </c>
      <c r="D15" s="15">
        <f>E9/C9</f>
        <v>2.982525211</v>
      </c>
      <c r="E15" s="15">
        <f>E9-E13</f>
        <v>40217.1047</v>
      </c>
      <c r="F15" s="17">
        <f>85.92/2</f>
        <v>42.96</v>
      </c>
      <c r="G15" s="18">
        <f>B15+E15+F15</f>
        <v>42515.3397</v>
      </c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14.25" customHeight="1">
      <c r="A16" s="2"/>
      <c r="B16" s="2"/>
      <c r="C16" s="3"/>
      <c r="D16" s="2"/>
      <c r="E16" s="4"/>
      <c r="F16" s="5"/>
      <c r="G16" s="4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18.0" customHeight="1">
      <c r="A17" s="2"/>
      <c r="B17" s="2"/>
      <c r="C17" s="3"/>
      <c r="D17" s="2"/>
      <c r="E17" s="4"/>
      <c r="F17" s="5"/>
      <c r="G17" s="31">
        <f>SUM(G7+G13+G15)</f>
        <v>87049.35094</v>
      </c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14.25" customHeight="1">
      <c r="A18" s="2"/>
      <c r="B18" s="2"/>
      <c r="C18" s="3"/>
      <c r="D18" s="2"/>
      <c r="E18" s="4"/>
      <c r="F18" s="5"/>
      <c r="G18" s="4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18.0" customHeight="1">
      <c r="A19" s="32" t="s">
        <v>18</v>
      </c>
      <c r="B19" s="2"/>
      <c r="C19" s="3"/>
      <c r="D19" s="2"/>
      <c r="E19" s="4"/>
      <c r="F19" s="5"/>
      <c r="G19" s="33">
        <f>G21-G17</f>
        <v>-0.000935613687</v>
      </c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14.25" customHeight="1">
      <c r="A20" s="2"/>
      <c r="B20" s="2"/>
      <c r="C20" s="3"/>
      <c r="D20" s="2"/>
      <c r="E20" s="4"/>
      <c r="F20" s="5"/>
      <c r="G20" s="4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8.0" customHeight="1">
      <c r="A21" s="14" t="s">
        <v>19</v>
      </c>
      <c r="B21" s="2"/>
      <c r="C21" s="3"/>
      <c r="D21" s="2"/>
      <c r="E21" s="4"/>
      <c r="F21" s="5"/>
      <c r="G21" s="34">
        <v>87049.35</v>
      </c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8.0" customHeight="1">
      <c r="A22" s="2"/>
      <c r="B22" s="2"/>
      <c r="C22" s="3"/>
      <c r="D22" s="2"/>
      <c r="E22" s="4"/>
      <c r="F22" s="5"/>
      <c r="G22" s="4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4.25" customHeight="1">
      <c r="A23" s="2"/>
      <c r="B23" s="2"/>
      <c r="C23" s="3"/>
      <c r="D23" s="2"/>
      <c r="E23" s="4"/>
      <c r="F23" s="5"/>
      <c r="G23" s="4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4.25" customHeight="1">
      <c r="A24" s="2"/>
      <c r="B24" s="2"/>
      <c r="C24" s="3"/>
      <c r="D24" s="2"/>
      <c r="E24" s="4"/>
      <c r="F24" s="5"/>
      <c r="G24" s="4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4.25" customHeight="1">
      <c r="A25" s="2"/>
      <c r="B25" s="2"/>
      <c r="C25" s="3"/>
      <c r="D25" s="2"/>
      <c r="E25" s="4"/>
      <c r="F25" s="5"/>
      <c r="G25" s="4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4.25" customHeight="1">
      <c r="A26" s="2"/>
      <c r="B26" s="2"/>
      <c r="C26" s="3"/>
      <c r="D26" s="2"/>
      <c r="E26" s="4"/>
      <c r="F26" s="5"/>
      <c r="G26" s="4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4.25" customHeight="1">
      <c r="A27" s="2"/>
      <c r="B27" s="2"/>
      <c r="C27" s="3"/>
      <c r="D27" s="2"/>
      <c r="E27" s="4"/>
      <c r="F27" s="5"/>
      <c r="G27" s="4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4.25" customHeight="1">
      <c r="A28" s="2"/>
      <c r="B28" s="2"/>
      <c r="C28" s="3"/>
      <c r="D28" s="2"/>
      <c r="E28" s="4"/>
      <c r="F28" s="5"/>
      <c r="G28" s="4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4.25" customHeight="1">
      <c r="A29" s="2"/>
      <c r="B29" s="2"/>
      <c r="C29" s="3"/>
      <c r="D29" s="2"/>
      <c r="E29" s="4"/>
      <c r="F29" s="5"/>
      <c r="G29" s="4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4.25" customHeight="1">
      <c r="A30" s="2"/>
      <c r="B30" s="2"/>
      <c r="C30" s="3"/>
      <c r="D30" s="2"/>
      <c r="E30" s="4"/>
      <c r="F30" s="5"/>
      <c r="G30" s="4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4.25" customHeight="1">
      <c r="A31" s="2"/>
      <c r="B31" s="2"/>
      <c r="C31" s="3"/>
      <c r="D31" s="2"/>
      <c r="E31" s="4"/>
      <c r="F31" s="5"/>
      <c r="G31" s="4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4.25" customHeight="1">
      <c r="A32" s="2"/>
      <c r="B32" s="2"/>
      <c r="C32" s="3"/>
      <c r="D32" s="2"/>
      <c r="E32" s="4"/>
      <c r="F32" s="5"/>
      <c r="G32" s="4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4.25" customHeight="1">
      <c r="A33" s="2"/>
      <c r="B33" s="2"/>
      <c r="C33" s="3"/>
      <c r="D33" s="2"/>
      <c r="E33" s="4"/>
      <c r="F33" s="5"/>
      <c r="G33" s="4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4.25" customHeight="1">
      <c r="A34" s="2"/>
      <c r="B34" s="2"/>
      <c r="C34" s="3"/>
      <c r="D34" s="2"/>
      <c r="E34" s="4"/>
      <c r="F34" s="5"/>
      <c r="G34" s="4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4.25" customHeight="1">
      <c r="A35" s="2"/>
      <c r="B35" s="2"/>
      <c r="C35" s="3"/>
      <c r="D35" s="2"/>
      <c r="E35" s="4"/>
      <c r="F35" s="5"/>
      <c r="G35" s="4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4.25" customHeight="1">
      <c r="A36" s="2"/>
      <c r="B36" s="2"/>
      <c r="C36" s="3"/>
      <c r="D36" s="2"/>
      <c r="E36" s="4"/>
      <c r="F36" s="5"/>
      <c r="G36" s="4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4.25" customHeight="1">
      <c r="A37" s="2"/>
      <c r="B37" s="2"/>
      <c r="C37" s="3"/>
      <c r="D37" s="2"/>
      <c r="E37" s="4"/>
      <c r="F37" s="5"/>
      <c r="G37" s="4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4.25" customHeight="1">
      <c r="A38" s="2"/>
      <c r="B38" s="2"/>
      <c r="C38" s="3"/>
      <c r="D38" s="2"/>
      <c r="E38" s="4"/>
      <c r="F38" s="5"/>
      <c r="G38" s="4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4.25" customHeight="1">
      <c r="A39" s="2"/>
      <c r="B39" s="2"/>
      <c r="C39" s="3"/>
      <c r="D39" s="2"/>
      <c r="E39" s="4"/>
      <c r="F39" s="5"/>
      <c r="G39" s="4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4.25" customHeight="1">
      <c r="A40" s="2"/>
      <c r="B40" s="2"/>
      <c r="C40" s="3"/>
      <c r="D40" s="2"/>
      <c r="E40" s="4"/>
      <c r="F40" s="5"/>
      <c r="G40" s="4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4.25" customHeight="1">
      <c r="A41" s="2"/>
      <c r="B41" s="2"/>
      <c r="C41" s="3"/>
      <c r="D41" s="2"/>
      <c r="E41" s="4"/>
      <c r="F41" s="5"/>
      <c r="G41" s="4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4.25" customHeight="1">
      <c r="A42" s="2"/>
      <c r="B42" s="2"/>
      <c r="C42" s="3"/>
      <c r="D42" s="2"/>
      <c r="E42" s="4"/>
      <c r="F42" s="5"/>
      <c r="G42" s="4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4.25" customHeight="1">
      <c r="A43" s="2"/>
      <c r="B43" s="2"/>
      <c r="C43" s="3"/>
      <c r="D43" s="2"/>
      <c r="E43" s="4"/>
      <c r="F43" s="5"/>
      <c r="G43" s="4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4.25" customHeight="1">
      <c r="A44" s="2"/>
      <c r="B44" s="2"/>
      <c r="C44" s="3"/>
      <c r="D44" s="2"/>
      <c r="E44" s="4"/>
      <c r="F44" s="5"/>
      <c r="G44" s="4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4.25" customHeight="1">
      <c r="A45" s="2"/>
      <c r="B45" s="2"/>
      <c r="C45" s="3"/>
      <c r="D45" s="2"/>
      <c r="E45" s="4"/>
      <c r="F45" s="5"/>
      <c r="G45" s="4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4.25" customHeight="1">
      <c r="A46" s="2"/>
      <c r="B46" s="2"/>
      <c r="C46" s="3"/>
      <c r="D46" s="2"/>
      <c r="E46" s="4"/>
      <c r="F46" s="5"/>
      <c r="G46" s="4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4.25" customHeight="1">
      <c r="A47" s="2"/>
      <c r="B47" s="2"/>
      <c r="C47" s="3"/>
      <c r="D47" s="2"/>
      <c r="E47" s="4"/>
      <c r="F47" s="5"/>
      <c r="G47" s="4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4.25" customHeight="1">
      <c r="A48" s="2"/>
      <c r="B48" s="2"/>
      <c r="C48" s="3"/>
      <c r="D48" s="2"/>
      <c r="E48" s="4"/>
      <c r="F48" s="5"/>
      <c r="G48" s="4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4.25" customHeight="1">
      <c r="A49" s="2"/>
      <c r="B49" s="2"/>
      <c r="C49" s="3"/>
      <c r="D49" s="2"/>
      <c r="E49" s="4"/>
      <c r="F49" s="5"/>
      <c r="G49" s="4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4.25" customHeight="1">
      <c r="A50" s="2"/>
      <c r="B50" s="2"/>
      <c r="C50" s="3"/>
      <c r="D50" s="2"/>
      <c r="E50" s="4"/>
      <c r="F50" s="5"/>
      <c r="G50" s="4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4.25" customHeight="1">
      <c r="A51" s="2"/>
      <c r="B51" s="2"/>
      <c r="C51" s="3"/>
      <c r="D51" s="2"/>
      <c r="E51" s="4"/>
      <c r="F51" s="5"/>
      <c r="G51" s="4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4.25" customHeight="1">
      <c r="A52" s="2"/>
      <c r="B52" s="2"/>
      <c r="C52" s="3"/>
      <c r="D52" s="2"/>
      <c r="E52" s="4"/>
      <c r="F52" s="5"/>
      <c r="G52" s="4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4.25" customHeight="1">
      <c r="A53" s="2"/>
      <c r="B53" s="2"/>
      <c r="C53" s="3"/>
      <c r="D53" s="2"/>
      <c r="E53" s="4"/>
      <c r="F53" s="5"/>
      <c r="G53" s="4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4.25" customHeight="1">
      <c r="A54" s="2"/>
      <c r="B54" s="2"/>
      <c r="C54" s="3"/>
      <c r="D54" s="2"/>
      <c r="E54" s="4"/>
      <c r="F54" s="5"/>
      <c r="G54" s="4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4.25" customHeight="1">
      <c r="A55" s="2"/>
      <c r="B55" s="2"/>
      <c r="C55" s="3"/>
      <c r="D55" s="2"/>
      <c r="E55" s="4"/>
      <c r="F55" s="5"/>
      <c r="G55" s="4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4.25" customHeight="1">
      <c r="A56" s="2"/>
      <c r="B56" s="2"/>
      <c r="C56" s="3"/>
      <c r="D56" s="2"/>
      <c r="E56" s="4"/>
      <c r="F56" s="5"/>
      <c r="G56" s="4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4.25" customHeight="1">
      <c r="A57" s="2"/>
      <c r="B57" s="2"/>
      <c r="C57" s="3"/>
      <c r="D57" s="2"/>
      <c r="E57" s="4"/>
      <c r="F57" s="5"/>
      <c r="G57" s="4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4.25" customHeight="1">
      <c r="A58" s="2"/>
      <c r="B58" s="2"/>
      <c r="C58" s="3"/>
      <c r="D58" s="2"/>
      <c r="E58" s="4"/>
      <c r="F58" s="5"/>
      <c r="G58" s="4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4.25" customHeight="1">
      <c r="A59" s="2"/>
      <c r="B59" s="2"/>
      <c r="C59" s="3"/>
      <c r="D59" s="2"/>
      <c r="E59" s="4"/>
      <c r="F59" s="5"/>
      <c r="G59" s="4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4.25" customHeight="1">
      <c r="A60" s="2"/>
      <c r="B60" s="2"/>
      <c r="C60" s="3"/>
      <c r="D60" s="2"/>
      <c r="E60" s="4"/>
      <c r="F60" s="5"/>
      <c r="G60" s="4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4.25" customHeight="1">
      <c r="A61" s="2"/>
      <c r="B61" s="2"/>
      <c r="C61" s="3"/>
      <c r="D61" s="2"/>
      <c r="E61" s="4"/>
      <c r="F61" s="5"/>
      <c r="G61" s="4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4.25" customHeight="1">
      <c r="A62" s="2"/>
      <c r="B62" s="2"/>
      <c r="C62" s="3"/>
      <c r="D62" s="2"/>
      <c r="E62" s="4"/>
      <c r="F62" s="5"/>
      <c r="G62" s="4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4.25" customHeight="1">
      <c r="A63" s="2"/>
      <c r="B63" s="2"/>
      <c r="C63" s="3"/>
      <c r="D63" s="2"/>
      <c r="E63" s="4"/>
      <c r="F63" s="5"/>
      <c r="G63" s="4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4.25" customHeight="1">
      <c r="A64" s="2"/>
      <c r="B64" s="2"/>
      <c r="C64" s="3"/>
      <c r="D64" s="2"/>
      <c r="E64" s="4"/>
      <c r="F64" s="5"/>
      <c r="G64" s="4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4.25" customHeight="1">
      <c r="A65" s="2"/>
      <c r="B65" s="2"/>
      <c r="C65" s="3"/>
      <c r="D65" s="2"/>
      <c r="E65" s="4"/>
      <c r="F65" s="5"/>
      <c r="G65" s="4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4.25" customHeight="1">
      <c r="A66" s="2"/>
      <c r="B66" s="2"/>
      <c r="C66" s="3"/>
      <c r="D66" s="2"/>
      <c r="E66" s="4"/>
      <c r="F66" s="5"/>
      <c r="G66" s="4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4.25" customHeight="1">
      <c r="A67" s="2"/>
      <c r="B67" s="2"/>
      <c r="C67" s="3"/>
      <c r="D67" s="2"/>
      <c r="E67" s="4"/>
      <c r="F67" s="5"/>
      <c r="G67" s="4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4.25" customHeight="1">
      <c r="A68" s="2"/>
      <c r="B68" s="2"/>
      <c r="C68" s="3"/>
      <c r="D68" s="2"/>
      <c r="E68" s="4"/>
      <c r="F68" s="5"/>
      <c r="G68" s="4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4.25" customHeight="1">
      <c r="A69" s="2"/>
      <c r="B69" s="2"/>
      <c r="C69" s="3"/>
      <c r="D69" s="2"/>
      <c r="E69" s="4"/>
      <c r="F69" s="5"/>
      <c r="G69" s="4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4.25" customHeight="1">
      <c r="A70" s="2"/>
      <c r="B70" s="2"/>
      <c r="C70" s="3"/>
      <c r="D70" s="2"/>
      <c r="E70" s="4"/>
      <c r="F70" s="5"/>
      <c r="G70" s="4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4.25" customHeight="1">
      <c r="A71" s="2"/>
      <c r="B71" s="2"/>
      <c r="C71" s="3"/>
      <c r="D71" s="2"/>
      <c r="E71" s="4"/>
      <c r="F71" s="5"/>
      <c r="G71" s="4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4.25" customHeight="1">
      <c r="A72" s="2"/>
      <c r="B72" s="2"/>
      <c r="C72" s="3"/>
      <c r="D72" s="2"/>
      <c r="E72" s="4"/>
      <c r="F72" s="5"/>
      <c r="G72" s="4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4.25" customHeight="1">
      <c r="A73" s="2"/>
      <c r="B73" s="2"/>
      <c r="C73" s="3"/>
      <c r="D73" s="2"/>
      <c r="E73" s="4"/>
      <c r="F73" s="5"/>
      <c r="G73" s="4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4.25" customHeight="1">
      <c r="A74" s="2"/>
      <c r="B74" s="2"/>
      <c r="C74" s="3"/>
      <c r="D74" s="2"/>
      <c r="E74" s="4"/>
      <c r="F74" s="5"/>
      <c r="G74" s="4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4.25" customHeight="1">
      <c r="A75" s="2"/>
      <c r="B75" s="2"/>
      <c r="C75" s="3"/>
      <c r="D75" s="2"/>
      <c r="E75" s="4"/>
      <c r="F75" s="5"/>
      <c r="G75" s="4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4.25" customHeight="1">
      <c r="A76" s="2"/>
      <c r="B76" s="2"/>
      <c r="C76" s="3"/>
      <c r="D76" s="2"/>
      <c r="E76" s="4"/>
      <c r="F76" s="5"/>
      <c r="G76" s="4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4.25" customHeight="1">
      <c r="A77" s="2"/>
      <c r="B77" s="2"/>
      <c r="C77" s="3"/>
      <c r="D77" s="2"/>
      <c r="E77" s="4"/>
      <c r="F77" s="5"/>
      <c r="G77" s="4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4.25" customHeight="1">
      <c r="A78" s="2"/>
      <c r="B78" s="2"/>
      <c r="C78" s="3"/>
      <c r="D78" s="2"/>
      <c r="E78" s="4"/>
      <c r="F78" s="5"/>
      <c r="G78" s="4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4.25" customHeight="1">
      <c r="A79" s="2"/>
      <c r="B79" s="2"/>
      <c r="C79" s="3"/>
      <c r="D79" s="2"/>
      <c r="E79" s="4"/>
      <c r="F79" s="5"/>
      <c r="G79" s="4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4.25" customHeight="1">
      <c r="A80" s="2"/>
      <c r="B80" s="2"/>
      <c r="C80" s="3"/>
      <c r="D80" s="2"/>
      <c r="E80" s="4"/>
      <c r="F80" s="5"/>
      <c r="G80" s="4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4.25" customHeight="1">
      <c r="A81" s="2"/>
      <c r="B81" s="2"/>
      <c r="C81" s="3"/>
      <c r="D81" s="2"/>
      <c r="E81" s="4"/>
      <c r="F81" s="5"/>
      <c r="G81" s="4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4.25" customHeight="1">
      <c r="A82" s="2"/>
      <c r="B82" s="2"/>
      <c r="C82" s="3"/>
      <c r="D82" s="2"/>
      <c r="E82" s="4"/>
      <c r="F82" s="5"/>
      <c r="G82" s="4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4.25" customHeight="1">
      <c r="A83" s="2"/>
      <c r="B83" s="2"/>
      <c r="C83" s="3"/>
      <c r="D83" s="2"/>
      <c r="E83" s="4"/>
      <c r="F83" s="5"/>
      <c r="G83" s="4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4.25" customHeight="1">
      <c r="A84" s="2"/>
      <c r="B84" s="2"/>
      <c r="C84" s="3"/>
      <c r="D84" s="2"/>
      <c r="E84" s="4"/>
      <c r="F84" s="5"/>
      <c r="G84" s="4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4.25" customHeight="1">
      <c r="A85" s="2"/>
      <c r="B85" s="2"/>
      <c r="C85" s="3"/>
      <c r="D85" s="2"/>
      <c r="E85" s="4"/>
      <c r="F85" s="5"/>
      <c r="G85" s="4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4.25" customHeight="1">
      <c r="A86" s="2"/>
      <c r="B86" s="2"/>
      <c r="C86" s="3"/>
      <c r="D86" s="2"/>
      <c r="E86" s="4"/>
      <c r="F86" s="5"/>
      <c r="G86" s="4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4.25" customHeight="1">
      <c r="A87" s="2"/>
      <c r="B87" s="2"/>
      <c r="C87" s="3"/>
      <c r="D87" s="2"/>
      <c r="E87" s="4"/>
      <c r="F87" s="5"/>
      <c r="G87" s="4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4.25" customHeight="1">
      <c r="A88" s="2"/>
      <c r="B88" s="2"/>
      <c r="C88" s="3"/>
      <c r="D88" s="2"/>
      <c r="E88" s="4"/>
      <c r="F88" s="5"/>
      <c r="G88" s="4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4.25" customHeight="1">
      <c r="A89" s="2"/>
      <c r="B89" s="2"/>
      <c r="C89" s="3"/>
      <c r="D89" s="2"/>
      <c r="E89" s="4"/>
      <c r="F89" s="5"/>
      <c r="G89" s="4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4.25" customHeight="1">
      <c r="A90" s="2"/>
      <c r="B90" s="2"/>
      <c r="C90" s="3"/>
      <c r="D90" s="2"/>
      <c r="E90" s="4"/>
      <c r="F90" s="5"/>
      <c r="G90" s="4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4.25" customHeight="1">
      <c r="A91" s="2"/>
      <c r="B91" s="2"/>
      <c r="C91" s="3"/>
      <c r="D91" s="2"/>
      <c r="E91" s="4"/>
      <c r="F91" s="5"/>
      <c r="G91" s="4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4.25" customHeight="1">
      <c r="A92" s="2"/>
      <c r="B92" s="2"/>
      <c r="C92" s="3"/>
      <c r="D92" s="2"/>
      <c r="E92" s="4"/>
      <c r="F92" s="5"/>
      <c r="G92" s="4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4.25" customHeight="1">
      <c r="A93" s="2"/>
      <c r="B93" s="2"/>
      <c r="C93" s="3"/>
      <c r="D93" s="2"/>
      <c r="E93" s="4"/>
      <c r="F93" s="5"/>
      <c r="G93" s="4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4.25" customHeight="1">
      <c r="A94" s="2"/>
      <c r="B94" s="2"/>
      <c r="C94" s="3"/>
      <c r="D94" s="2"/>
      <c r="E94" s="4"/>
      <c r="F94" s="5"/>
      <c r="G94" s="4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4.25" customHeight="1">
      <c r="A95" s="2"/>
      <c r="B95" s="2"/>
      <c r="C95" s="3"/>
      <c r="D95" s="2"/>
      <c r="E95" s="4"/>
      <c r="F95" s="5"/>
      <c r="G95" s="4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4.25" customHeight="1">
      <c r="A96" s="2"/>
      <c r="B96" s="2"/>
      <c r="C96" s="3"/>
      <c r="D96" s="2"/>
      <c r="E96" s="4"/>
      <c r="F96" s="5"/>
      <c r="G96" s="4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4.25" customHeight="1">
      <c r="A97" s="2"/>
      <c r="B97" s="2"/>
      <c r="C97" s="3"/>
      <c r="D97" s="2"/>
      <c r="E97" s="4"/>
      <c r="F97" s="5"/>
      <c r="G97" s="4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4.25" customHeight="1">
      <c r="A98" s="2"/>
      <c r="B98" s="2"/>
      <c r="C98" s="3"/>
      <c r="D98" s="2"/>
      <c r="E98" s="4"/>
      <c r="F98" s="5"/>
      <c r="G98" s="4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4.25" customHeight="1">
      <c r="A99" s="2"/>
      <c r="B99" s="2"/>
      <c r="C99" s="3"/>
      <c r="D99" s="2"/>
      <c r="E99" s="4"/>
      <c r="F99" s="5"/>
      <c r="G99" s="4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4.25" customHeight="1">
      <c r="A100" s="2"/>
      <c r="B100" s="2"/>
      <c r="C100" s="3"/>
      <c r="D100" s="2"/>
      <c r="E100" s="4"/>
      <c r="F100" s="5"/>
      <c r="G100" s="4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4.25" customHeight="1">
      <c r="A101" s="2"/>
      <c r="B101" s="2"/>
      <c r="C101" s="3"/>
      <c r="D101" s="2"/>
      <c r="E101" s="4"/>
      <c r="F101" s="5"/>
      <c r="G101" s="4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4.25" customHeight="1">
      <c r="A102" s="2"/>
      <c r="B102" s="2"/>
      <c r="C102" s="3"/>
      <c r="D102" s="2"/>
      <c r="E102" s="4"/>
      <c r="F102" s="5"/>
      <c r="G102" s="4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4.25" customHeight="1">
      <c r="A103" s="2"/>
      <c r="B103" s="2"/>
      <c r="C103" s="3"/>
      <c r="D103" s="2"/>
      <c r="E103" s="4"/>
      <c r="F103" s="5"/>
      <c r="G103" s="4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4.25" customHeight="1">
      <c r="A104" s="2"/>
      <c r="B104" s="2"/>
      <c r="C104" s="3"/>
      <c r="D104" s="2"/>
      <c r="E104" s="4"/>
      <c r="F104" s="5"/>
      <c r="G104" s="4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4.25" customHeight="1">
      <c r="A105" s="2"/>
      <c r="B105" s="2"/>
      <c r="C105" s="3"/>
      <c r="D105" s="2"/>
      <c r="E105" s="4"/>
      <c r="F105" s="5"/>
      <c r="G105" s="4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4.25" customHeight="1">
      <c r="A106" s="2"/>
      <c r="B106" s="2"/>
      <c r="C106" s="3"/>
      <c r="D106" s="2"/>
      <c r="E106" s="4"/>
      <c r="F106" s="5"/>
      <c r="G106" s="4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4.25" customHeight="1">
      <c r="A107" s="2"/>
      <c r="B107" s="2"/>
      <c r="C107" s="3"/>
      <c r="D107" s="2"/>
      <c r="E107" s="4"/>
      <c r="F107" s="5"/>
      <c r="G107" s="4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4.25" customHeight="1">
      <c r="A108" s="2"/>
      <c r="B108" s="2"/>
      <c r="C108" s="3"/>
      <c r="D108" s="2"/>
      <c r="E108" s="4"/>
      <c r="F108" s="5"/>
      <c r="G108" s="4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4.25" customHeight="1">
      <c r="A109" s="2"/>
      <c r="B109" s="2"/>
      <c r="C109" s="3"/>
      <c r="D109" s="2"/>
      <c r="E109" s="4"/>
      <c r="F109" s="5"/>
      <c r="G109" s="4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4.25" customHeight="1">
      <c r="A110" s="2"/>
      <c r="B110" s="2"/>
      <c r="C110" s="3"/>
      <c r="D110" s="2"/>
      <c r="E110" s="4"/>
      <c r="F110" s="5"/>
      <c r="G110" s="4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4.25" customHeight="1">
      <c r="A111" s="2"/>
      <c r="B111" s="2"/>
      <c r="C111" s="3"/>
      <c r="D111" s="2"/>
      <c r="E111" s="4"/>
      <c r="F111" s="5"/>
      <c r="G111" s="4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4.25" customHeight="1">
      <c r="A112" s="2"/>
      <c r="B112" s="2"/>
      <c r="C112" s="3"/>
      <c r="D112" s="2"/>
      <c r="E112" s="4"/>
      <c r="F112" s="5"/>
      <c r="G112" s="4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4.25" customHeight="1">
      <c r="A113" s="2"/>
      <c r="B113" s="2"/>
      <c r="C113" s="3"/>
      <c r="D113" s="2"/>
      <c r="E113" s="4"/>
      <c r="F113" s="5"/>
      <c r="G113" s="4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4.25" customHeight="1">
      <c r="A114" s="2"/>
      <c r="B114" s="2"/>
      <c r="C114" s="3"/>
      <c r="D114" s="2"/>
      <c r="E114" s="4"/>
      <c r="F114" s="5"/>
      <c r="G114" s="4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4.25" customHeight="1">
      <c r="A115" s="2"/>
      <c r="B115" s="2"/>
      <c r="C115" s="3"/>
      <c r="D115" s="2"/>
      <c r="E115" s="4"/>
      <c r="F115" s="5"/>
      <c r="G115" s="4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4.25" customHeight="1">
      <c r="A116" s="2"/>
      <c r="B116" s="2"/>
      <c r="C116" s="3"/>
      <c r="D116" s="2"/>
      <c r="E116" s="4"/>
      <c r="F116" s="5"/>
      <c r="G116" s="4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4.25" customHeight="1">
      <c r="A117" s="2"/>
      <c r="B117" s="2"/>
      <c r="C117" s="3"/>
      <c r="D117" s="2"/>
      <c r="E117" s="4"/>
      <c r="F117" s="5"/>
      <c r="G117" s="4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4.25" customHeight="1">
      <c r="A118" s="2"/>
      <c r="B118" s="2"/>
      <c r="C118" s="3"/>
      <c r="D118" s="2"/>
      <c r="E118" s="4"/>
      <c r="F118" s="5"/>
      <c r="G118" s="4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4.25" customHeight="1">
      <c r="A119" s="2"/>
      <c r="B119" s="2"/>
      <c r="C119" s="3"/>
      <c r="D119" s="2"/>
      <c r="E119" s="4"/>
      <c r="F119" s="5"/>
      <c r="G119" s="4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4.25" customHeight="1">
      <c r="A120" s="2"/>
      <c r="B120" s="2"/>
      <c r="C120" s="3"/>
      <c r="D120" s="2"/>
      <c r="E120" s="4"/>
      <c r="F120" s="5"/>
      <c r="G120" s="4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4.25" customHeight="1">
      <c r="A121" s="2"/>
      <c r="B121" s="2"/>
      <c r="C121" s="3"/>
      <c r="D121" s="2"/>
      <c r="E121" s="4"/>
      <c r="F121" s="5"/>
      <c r="G121" s="4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4.25" customHeight="1">
      <c r="A122" s="2"/>
      <c r="B122" s="2"/>
      <c r="C122" s="3"/>
      <c r="D122" s="2"/>
      <c r="E122" s="4"/>
      <c r="F122" s="5"/>
      <c r="G122" s="4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4.25" customHeight="1">
      <c r="A123" s="2"/>
      <c r="B123" s="2"/>
      <c r="C123" s="3"/>
      <c r="D123" s="2"/>
      <c r="E123" s="4"/>
      <c r="F123" s="5"/>
      <c r="G123" s="4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4.25" customHeight="1">
      <c r="A124" s="2"/>
      <c r="B124" s="2"/>
      <c r="C124" s="3"/>
      <c r="D124" s="2"/>
      <c r="E124" s="4"/>
      <c r="F124" s="5"/>
      <c r="G124" s="4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4.25" customHeight="1">
      <c r="A125" s="2"/>
      <c r="B125" s="2"/>
      <c r="C125" s="3"/>
      <c r="D125" s="2"/>
      <c r="E125" s="4"/>
      <c r="F125" s="5"/>
      <c r="G125" s="4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4.25" customHeight="1">
      <c r="A126" s="2"/>
      <c r="B126" s="2"/>
      <c r="C126" s="3"/>
      <c r="D126" s="2"/>
      <c r="E126" s="4"/>
      <c r="F126" s="5"/>
      <c r="G126" s="4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4.25" customHeight="1">
      <c r="A127" s="2"/>
      <c r="B127" s="2"/>
      <c r="C127" s="3"/>
      <c r="D127" s="2"/>
      <c r="E127" s="4"/>
      <c r="F127" s="5"/>
      <c r="G127" s="4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4.25" customHeight="1">
      <c r="A128" s="2"/>
      <c r="B128" s="2"/>
      <c r="C128" s="3"/>
      <c r="D128" s="2"/>
      <c r="E128" s="4"/>
      <c r="F128" s="5"/>
      <c r="G128" s="4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4.25" customHeight="1">
      <c r="A129" s="2"/>
      <c r="B129" s="2"/>
      <c r="C129" s="3"/>
      <c r="D129" s="2"/>
      <c r="E129" s="4"/>
      <c r="F129" s="5"/>
      <c r="G129" s="4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4.25" customHeight="1">
      <c r="A130" s="2"/>
      <c r="B130" s="2"/>
      <c r="C130" s="3"/>
      <c r="D130" s="2"/>
      <c r="E130" s="4"/>
      <c r="F130" s="5"/>
      <c r="G130" s="4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4.25" customHeight="1">
      <c r="A131" s="2"/>
      <c r="B131" s="2"/>
      <c r="C131" s="3"/>
      <c r="D131" s="2"/>
      <c r="E131" s="4"/>
      <c r="F131" s="5"/>
      <c r="G131" s="4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4.25" customHeight="1">
      <c r="A132" s="2"/>
      <c r="B132" s="2"/>
      <c r="C132" s="3"/>
      <c r="D132" s="2"/>
      <c r="E132" s="4"/>
      <c r="F132" s="5"/>
      <c r="G132" s="4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4.25" customHeight="1">
      <c r="A133" s="2"/>
      <c r="B133" s="2"/>
      <c r="C133" s="3"/>
      <c r="D133" s="2"/>
      <c r="E133" s="4"/>
      <c r="F133" s="5"/>
      <c r="G133" s="4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4.25" customHeight="1">
      <c r="A134" s="2"/>
      <c r="B134" s="2"/>
      <c r="C134" s="3"/>
      <c r="D134" s="2"/>
      <c r="E134" s="4"/>
      <c r="F134" s="5"/>
      <c r="G134" s="4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4.25" customHeight="1">
      <c r="A135" s="2"/>
      <c r="B135" s="2"/>
      <c r="C135" s="3"/>
      <c r="D135" s="2"/>
      <c r="E135" s="4"/>
      <c r="F135" s="5"/>
      <c r="G135" s="4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4.25" customHeight="1">
      <c r="A136" s="2"/>
      <c r="B136" s="2"/>
      <c r="C136" s="3"/>
      <c r="D136" s="2"/>
      <c r="E136" s="4"/>
      <c r="F136" s="5"/>
      <c r="G136" s="4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4.25" customHeight="1">
      <c r="A137" s="2"/>
      <c r="B137" s="2"/>
      <c r="C137" s="3"/>
      <c r="D137" s="2"/>
      <c r="E137" s="4"/>
      <c r="F137" s="5"/>
      <c r="G137" s="4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4.25" customHeight="1">
      <c r="A138" s="2"/>
      <c r="B138" s="2"/>
      <c r="C138" s="3"/>
      <c r="D138" s="2"/>
      <c r="E138" s="4"/>
      <c r="F138" s="5"/>
      <c r="G138" s="4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4.25" customHeight="1">
      <c r="A139" s="2"/>
      <c r="B139" s="2"/>
      <c r="C139" s="3"/>
      <c r="D139" s="2"/>
      <c r="E139" s="4"/>
      <c r="F139" s="5"/>
      <c r="G139" s="4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4.25" customHeight="1">
      <c r="A140" s="2"/>
      <c r="B140" s="2"/>
      <c r="C140" s="3"/>
      <c r="D140" s="2"/>
      <c r="E140" s="4"/>
      <c r="F140" s="5"/>
      <c r="G140" s="4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4.25" customHeight="1">
      <c r="A141" s="2"/>
      <c r="B141" s="2"/>
      <c r="C141" s="3"/>
      <c r="D141" s="2"/>
      <c r="E141" s="4"/>
      <c r="F141" s="5"/>
      <c r="G141" s="4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4.25" customHeight="1">
      <c r="A142" s="2"/>
      <c r="B142" s="2"/>
      <c r="C142" s="3"/>
      <c r="D142" s="2"/>
      <c r="E142" s="4"/>
      <c r="F142" s="5"/>
      <c r="G142" s="4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4.25" customHeight="1">
      <c r="A143" s="2"/>
      <c r="B143" s="2"/>
      <c r="C143" s="3"/>
      <c r="D143" s="2"/>
      <c r="E143" s="4"/>
      <c r="F143" s="5"/>
      <c r="G143" s="4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4.25" customHeight="1">
      <c r="A144" s="2"/>
      <c r="B144" s="2"/>
      <c r="C144" s="3"/>
      <c r="D144" s="2"/>
      <c r="E144" s="4"/>
      <c r="F144" s="5"/>
      <c r="G144" s="4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4.25" customHeight="1">
      <c r="A145" s="2"/>
      <c r="B145" s="2"/>
      <c r="C145" s="3"/>
      <c r="D145" s="2"/>
      <c r="E145" s="4"/>
      <c r="F145" s="5"/>
      <c r="G145" s="4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4.25" customHeight="1">
      <c r="A146" s="2"/>
      <c r="B146" s="2"/>
      <c r="C146" s="3"/>
      <c r="D146" s="2"/>
      <c r="E146" s="4"/>
      <c r="F146" s="5"/>
      <c r="G146" s="4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4.25" customHeight="1">
      <c r="A147" s="2"/>
      <c r="B147" s="2"/>
      <c r="C147" s="3"/>
      <c r="D147" s="2"/>
      <c r="E147" s="4"/>
      <c r="F147" s="5"/>
      <c r="G147" s="4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4.25" customHeight="1">
      <c r="A148" s="2"/>
      <c r="B148" s="2"/>
      <c r="C148" s="3"/>
      <c r="D148" s="2"/>
      <c r="E148" s="4"/>
      <c r="F148" s="5"/>
      <c r="G148" s="4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4.25" customHeight="1">
      <c r="A149" s="2"/>
      <c r="B149" s="2"/>
      <c r="C149" s="3"/>
      <c r="D149" s="2"/>
      <c r="E149" s="4"/>
      <c r="F149" s="5"/>
      <c r="G149" s="4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4.25" customHeight="1">
      <c r="A150" s="2"/>
      <c r="B150" s="2"/>
      <c r="C150" s="3"/>
      <c r="D150" s="2"/>
      <c r="E150" s="4"/>
      <c r="F150" s="5"/>
      <c r="G150" s="4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4.25" customHeight="1">
      <c r="A151" s="2"/>
      <c r="B151" s="2"/>
      <c r="C151" s="3"/>
      <c r="D151" s="2"/>
      <c r="E151" s="4"/>
      <c r="F151" s="5"/>
      <c r="G151" s="4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4.25" customHeight="1">
      <c r="A152" s="2"/>
      <c r="B152" s="2"/>
      <c r="C152" s="3"/>
      <c r="D152" s="2"/>
      <c r="E152" s="4"/>
      <c r="F152" s="5"/>
      <c r="G152" s="4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4.25" customHeight="1">
      <c r="A153" s="2"/>
      <c r="B153" s="2"/>
      <c r="C153" s="3"/>
      <c r="D153" s="2"/>
      <c r="E153" s="4"/>
      <c r="F153" s="5"/>
      <c r="G153" s="4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4.25" customHeight="1">
      <c r="A154" s="2"/>
      <c r="B154" s="2"/>
      <c r="C154" s="3"/>
      <c r="D154" s="2"/>
      <c r="E154" s="4"/>
      <c r="F154" s="5"/>
      <c r="G154" s="4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4.25" customHeight="1">
      <c r="A155" s="2"/>
      <c r="B155" s="2"/>
      <c r="C155" s="3"/>
      <c r="D155" s="2"/>
      <c r="E155" s="4"/>
      <c r="F155" s="5"/>
      <c r="G155" s="4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4.25" customHeight="1">
      <c r="A156" s="2"/>
      <c r="B156" s="2"/>
      <c r="C156" s="3"/>
      <c r="D156" s="2"/>
      <c r="E156" s="4"/>
      <c r="F156" s="5"/>
      <c r="G156" s="4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4.25" customHeight="1">
      <c r="A157" s="2"/>
      <c r="B157" s="2"/>
      <c r="C157" s="3"/>
      <c r="D157" s="2"/>
      <c r="E157" s="4"/>
      <c r="F157" s="5"/>
      <c r="G157" s="4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4.25" customHeight="1">
      <c r="A158" s="2"/>
      <c r="B158" s="2"/>
      <c r="C158" s="3"/>
      <c r="D158" s="2"/>
      <c r="E158" s="4"/>
      <c r="F158" s="5"/>
      <c r="G158" s="4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4.25" customHeight="1">
      <c r="A159" s="2"/>
      <c r="B159" s="2"/>
      <c r="C159" s="3"/>
      <c r="D159" s="2"/>
      <c r="E159" s="4"/>
      <c r="F159" s="5"/>
      <c r="G159" s="4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4.25" customHeight="1">
      <c r="A160" s="2"/>
      <c r="B160" s="2"/>
      <c r="C160" s="3"/>
      <c r="D160" s="2"/>
      <c r="E160" s="4"/>
      <c r="F160" s="5"/>
      <c r="G160" s="4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4.25" customHeight="1">
      <c r="A161" s="2"/>
      <c r="B161" s="2"/>
      <c r="C161" s="3"/>
      <c r="D161" s="2"/>
      <c r="E161" s="4"/>
      <c r="F161" s="5"/>
      <c r="G161" s="4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4.25" customHeight="1">
      <c r="A162" s="2"/>
      <c r="B162" s="2"/>
      <c r="C162" s="3"/>
      <c r="D162" s="2"/>
      <c r="E162" s="4"/>
      <c r="F162" s="5"/>
      <c r="G162" s="4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4.25" customHeight="1">
      <c r="A163" s="2"/>
      <c r="B163" s="2"/>
      <c r="C163" s="3"/>
      <c r="D163" s="2"/>
      <c r="E163" s="4"/>
      <c r="F163" s="5"/>
      <c r="G163" s="4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4.25" customHeight="1">
      <c r="A164" s="2"/>
      <c r="B164" s="2"/>
      <c r="C164" s="3"/>
      <c r="D164" s="2"/>
      <c r="E164" s="4"/>
      <c r="F164" s="5"/>
      <c r="G164" s="4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4.25" customHeight="1">
      <c r="A165" s="2"/>
      <c r="B165" s="2"/>
      <c r="C165" s="3"/>
      <c r="D165" s="2"/>
      <c r="E165" s="4"/>
      <c r="F165" s="5"/>
      <c r="G165" s="4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4.25" customHeight="1">
      <c r="A166" s="2"/>
      <c r="B166" s="2"/>
      <c r="C166" s="3"/>
      <c r="D166" s="2"/>
      <c r="E166" s="4"/>
      <c r="F166" s="5"/>
      <c r="G166" s="4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4.25" customHeight="1">
      <c r="A167" s="2"/>
      <c r="B167" s="2"/>
      <c r="C167" s="3"/>
      <c r="D167" s="2"/>
      <c r="E167" s="4"/>
      <c r="F167" s="5"/>
      <c r="G167" s="4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4.25" customHeight="1">
      <c r="A168" s="2"/>
      <c r="B168" s="2"/>
      <c r="C168" s="3"/>
      <c r="D168" s="2"/>
      <c r="E168" s="4"/>
      <c r="F168" s="5"/>
      <c r="G168" s="4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4.25" customHeight="1">
      <c r="A169" s="2"/>
      <c r="B169" s="2"/>
      <c r="C169" s="3"/>
      <c r="D169" s="2"/>
      <c r="E169" s="4"/>
      <c r="F169" s="5"/>
      <c r="G169" s="4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4.25" customHeight="1">
      <c r="A170" s="2"/>
      <c r="B170" s="2"/>
      <c r="C170" s="3"/>
      <c r="D170" s="2"/>
      <c r="E170" s="4"/>
      <c r="F170" s="5"/>
      <c r="G170" s="4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4.25" customHeight="1">
      <c r="A171" s="2"/>
      <c r="B171" s="2"/>
      <c r="C171" s="3"/>
      <c r="D171" s="2"/>
      <c r="E171" s="4"/>
      <c r="F171" s="5"/>
      <c r="G171" s="4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4.25" customHeight="1">
      <c r="A172" s="2"/>
      <c r="B172" s="2"/>
      <c r="C172" s="3"/>
      <c r="D172" s="2"/>
      <c r="E172" s="4"/>
      <c r="F172" s="5"/>
      <c r="G172" s="4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4.25" customHeight="1">
      <c r="A173" s="2"/>
      <c r="B173" s="2"/>
      <c r="C173" s="3"/>
      <c r="D173" s="2"/>
      <c r="E173" s="4"/>
      <c r="F173" s="5"/>
      <c r="G173" s="4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4.25" customHeight="1">
      <c r="A174" s="2"/>
      <c r="B174" s="2"/>
      <c r="C174" s="3"/>
      <c r="D174" s="2"/>
      <c r="E174" s="4"/>
      <c r="F174" s="5"/>
      <c r="G174" s="4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4.25" customHeight="1">
      <c r="A175" s="2"/>
      <c r="B175" s="2"/>
      <c r="C175" s="3"/>
      <c r="D175" s="2"/>
      <c r="E175" s="4"/>
      <c r="F175" s="5"/>
      <c r="G175" s="4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4.25" customHeight="1">
      <c r="A176" s="2"/>
      <c r="B176" s="2"/>
      <c r="C176" s="3"/>
      <c r="D176" s="2"/>
      <c r="E176" s="4"/>
      <c r="F176" s="5"/>
      <c r="G176" s="4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4.25" customHeight="1">
      <c r="A177" s="2"/>
      <c r="B177" s="2"/>
      <c r="C177" s="3"/>
      <c r="D177" s="2"/>
      <c r="E177" s="4"/>
      <c r="F177" s="5"/>
      <c r="G177" s="4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4.25" customHeight="1">
      <c r="A178" s="2"/>
      <c r="B178" s="2"/>
      <c r="C178" s="3"/>
      <c r="D178" s="2"/>
      <c r="E178" s="4"/>
      <c r="F178" s="5"/>
      <c r="G178" s="4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4.25" customHeight="1">
      <c r="A179" s="2"/>
      <c r="B179" s="2"/>
      <c r="C179" s="3"/>
      <c r="D179" s="2"/>
      <c r="E179" s="4"/>
      <c r="F179" s="5"/>
      <c r="G179" s="4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4.25" customHeight="1">
      <c r="A180" s="2"/>
      <c r="B180" s="2"/>
      <c r="C180" s="3"/>
      <c r="D180" s="2"/>
      <c r="E180" s="4"/>
      <c r="F180" s="5"/>
      <c r="G180" s="4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4.25" customHeight="1">
      <c r="A181" s="2"/>
      <c r="B181" s="2"/>
      <c r="C181" s="3"/>
      <c r="D181" s="2"/>
      <c r="E181" s="4"/>
      <c r="F181" s="5"/>
      <c r="G181" s="4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4.25" customHeight="1">
      <c r="A182" s="2"/>
      <c r="B182" s="2"/>
      <c r="C182" s="3"/>
      <c r="D182" s="2"/>
      <c r="E182" s="4"/>
      <c r="F182" s="5"/>
      <c r="G182" s="4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4.25" customHeight="1">
      <c r="A183" s="2"/>
      <c r="B183" s="2"/>
      <c r="C183" s="3"/>
      <c r="D183" s="2"/>
      <c r="E183" s="4"/>
      <c r="F183" s="5"/>
      <c r="G183" s="4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4.25" customHeight="1">
      <c r="A184" s="2"/>
      <c r="B184" s="2"/>
      <c r="C184" s="3"/>
      <c r="D184" s="2"/>
      <c r="E184" s="4"/>
      <c r="F184" s="5"/>
      <c r="G184" s="4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4.25" customHeight="1">
      <c r="A185" s="2"/>
      <c r="B185" s="2"/>
      <c r="C185" s="3"/>
      <c r="D185" s="2"/>
      <c r="E185" s="4"/>
      <c r="F185" s="5"/>
      <c r="G185" s="4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4.25" customHeight="1">
      <c r="A186" s="2"/>
      <c r="B186" s="2"/>
      <c r="C186" s="3"/>
      <c r="D186" s="2"/>
      <c r="E186" s="4"/>
      <c r="F186" s="5"/>
      <c r="G186" s="4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4.25" customHeight="1">
      <c r="A187" s="2"/>
      <c r="B187" s="2"/>
      <c r="C187" s="3"/>
      <c r="D187" s="2"/>
      <c r="E187" s="4"/>
      <c r="F187" s="5"/>
      <c r="G187" s="4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4.25" customHeight="1">
      <c r="A188" s="2"/>
      <c r="B188" s="2"/>
      <c r="C188" s="3"/>
      <c r="D188" s="2"/>
      <c r="E188" s="4"/>
      <c r="F188" s="5"/>
      <c r="G188" s="4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4.25" customHeight="1">
      <c r="A189" s="2"/>
      <c r="B189" s="2"/>
      <c r="C189" s="3"/>
      <c r="D189" s="2"/>
      <c r="E189" s="4"/>
      <c r="F189" s="5"/>
      <c r="G189" s="4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4.25" customHeight="1">
      <c r="A190" s="2"/>
      <c r="B190" s="2"/>
      <c r="C190" s="3"/>
      <c r="D190" s="2"/>
      <c r="E190" s="4"/>
      <c r="F190" s="5"/>
      <c r="G190" s="4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4.25" customHeight="1">
      <c r="A191" s="2"/>
      <c r="B191" s="2"/>
      <c r="C191" s="3"/>
      <c r="D191" s="2"/>
      <c r="E191" s="4"/>
      <c r="F191" s="5"/>
      <c r="G191" s="4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4.25" customHeight="1">
      <c r="A192" s="2"/>
      <c r="B192" s="2"/>
      <c r="C192" s="3"/>
      <c r="D192" s="2"/>
      <c r="E192" s="4"/>
      <c r="F192" s="5"/>
      <c r="G192" s="4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4.25" customHeight="1">
      <c r="A193" s="2"/>
      <c r="B193" s="2"/>
      <c r="C193" s="3"/>
      <c r="D193" s="2"/>
      <c r="E193" s="4"/>
      <c r="F193" s="5"/>
      <c r="G193" s="4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4.25" customHeight="1">
      <c r="A194" s="2"/>
      <c r="B194" s="2"/>
      <c r="C194" s="3"/>
      <c r="D194" s="2"/>
      <c r="E194" s="4"/>
      <c r="F194" s="5"/>
      <c r="G194" s="4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4.25" customHeight="1">
      <c r="A195" s="2"/>
      <c r="B195" s="2"/>
      <c r="C195" s="3"/>
      <c r="D195" s="2"/>
      <c r="E195" s="4"/>
      <c r="F195" s="5"/>
      <c r="G195" s="4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4.25" customHeight="1">
      <c r="A196" s="2"/>
      <c r="B196" s="2"/>
      <c r="C196" s="3"/>
      <c r="D196" s="2"/>
      <c r="E196" s="4"/>
      <c r="F196" s="5"/>
      <c r="G196" s="4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4.25" customHeight="1">
      <c r="A197" s="2"/>
      <c r="B197" s="2"/>
      <c r="C197" s="3"/>
      <c r="D197" s="2"/>
      <c r="E197" s="4"/>
      <c r="F197" s="5"/>
      <c r="G197" s="4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4.25" customHeight="1">
      <c r="A198" s="2"/>
      <c r="B198" s="2"/>
      <c r="C198" s="3"/>
      <c r="D198" s="2"/>
      <c r="E198" s="4"/>
      <c r="F198" s="5"/>
      <c r="G198" s="4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4.25" customHeight="1">
      <c r="A199" s="2"/>
      <c r="B199" s="2"/>
      <c r="C199" s="3"/>
      <c r="D199" s="2"/>
      <c r="E199" s="4"/>
      <c r="F199" s="5"/>
      <c r="G199" s="4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4.25" customHeight="1">
      <c r="A200" s="2"/>
      <c r="B200" s="2"/>
      <c r="C200" s="3"/>
      <c r="D200" s="2"/>
      <c r="E200" s="4"/>
      <c r="F200" s="5"/>
      <c r="G200" s="4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4.25" customHeight="1">
      <c r="A201" s="2"/>
      <c r="B201" s="2"/>
      <c r="C201" s="3"/>
      <c r="D201" s="2"/>
      <c r="E201" s="4"/>
      <c r="F201" s="5"/>
      <c r="G201" s="4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4.25" customHeight="1">
      <c r="A202" s="2"/>
      <c r="B202" s="2"/>
      <c r="C202" s="3"/>
      <c r="D202" s="2"/>
      <c r="E202" s="4"/>
      <c r="F202" s="5"/>
      <c r="G202" s="4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4.25" customHeight="1">
      <c r="A203" s="2"/>
      <c r="B203" s="2"/>
      <c r="C203" s="3"/>
      <c r="D203" s="2"/>
      <c r="E203" s="4"/>
      <c r="F203" s="5"/>
      <c r="G203" s="4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4.25" customHeight="1">
      <c r="A204" s="2"/>
      <c r="B204" s="2"/>
      <c r="C204" s="3"/>
      <c r="D204" s="2"/>
      <c r="E204" s="4"/>
      <c r="F204" s="5"/>
      <c r="G204" s="4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4.25" customHeight="1">
      <c r="A205" s="2"/>
      <c r="B205" s="2"/>
      <c r="C205" s="3"/>
      <c r="D205" s="2"/>
      <c r="E205" s="4"/>
      <c r="F205" s="5"/>
      <c r="G205" s="4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4.25" customHeight="1">
      <c r="A206" s="2"/>
      <c r="B206" s="2"/>
      <c r="C206" s="3"/>
      <c r="D206" s="2"/>
      <c r="E206" s="4"/>
      <c r="F206" s="5"/>
      <c r="G206" s="4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4.25" customHeight="1">
      <c r="A207" s="2"/>
      <c r="B207" s="2"/>
      <c r="C207" s="3"/>
      <c r="D207" s="2"/>
      <c r="E207" s="4"/>
      <c r="F207" s="5"/>
      <c r="G207" s="4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4.25" customHeight="1">
      <c r="A208" s="2"/>
      <c r="B208" s="2"/>
      <c r="C208" s="3"/>
      <c r="D208" s="2"/>
      <c r="E208" s="4"/>
      <c r="F208" s="5"/>
      <c r="G208" s="4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4.25" customHeight="1">
      <c r="A209" s="2"/>
      <c r="B209" s="2"/>
      <c r="C209" s="3"/>
      <c r="D209" s="2"/>
      <c r="E209" s="4"/>
      <c r="F209" s="5"/>
      <c r="G209" s="4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4.25" customHeight="1">
      <c r="A210" s="2"/>
      <c r="B210" s="2"/>
      <c r="C210" s="3"/>
      <c r="D210" s="2"/>
      <c r="E210" s="4"/>
      <c r="F210" s="5"/>
      <c r="G210" s="4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4.25" customHeight="1">
      <c r="A211" s="2"/>
      <c r="B211" s="2"/>
      <c r="C211" s="3"/>
      <c r="D211" s="2"/>
      <c r="E211" s="4"/>
      <c r="F211" s="5"/>
      <c r="G211" s="4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4.25" customHeight="1">
      <c r="A212" s="2"/>
      <c r="B212" s="2"/>
      <c r="C212" s="3"/>
      <c r="D212" s="2"/>
      <c r="E212" s="4"/>
      <c r="F212" s="5"/>
      <c r="G212" s="4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4.25" customHeight="1">
      <c r="A213" s="2"/>
      <c r="B213" s="2"/>
      <c r="C213" s="3"/>
      <c r="D213" s="2"/>
      <c r="E213" s="4"/>
      <c r="F213" s="5"/>
      <c r="G213" s="4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4.25" customHeight="1">
      <c r="A214" s="2"/>
      <c r="B214" s="2"/>
      <c r="C214" s="3"/>
      <c r="D214" s="2"/>
      <c r="E214" s="4"/>
      <c r="F214" s="5"/>
      <c r="G214" s="4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4.25" customHeight="1">
      <c r="A215" s="2"/>
      <c r="B215" s="2"/>
      <c r="C215" s="3"/>
      <c r="D215" s="2"/>
      <c r="E215" s="4"/>
      <c r="F215" s="5"/>
      <c r="G215" s="4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4.25" customHeight="1">
      <c r="A216" s="2"/>
      <c r="B216" s="2"/>
      <c r="C216" s="3"/>
      <c r="D216" s="2"/>
      <c r="E216" s="4"/>
      <c r="F216" s="5"/>
      <c r="G216" s="4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4.25" customHeight="1">
      <c r="A217" s="2"/>
      <c r="B217" s="2"/>
      <c r="C217" s="3"/>
      <c r="D217" s="2"/>
      <c r="E217" s="4"/>
      <c r="F217" s="5"/>
      <c r="G217" s="4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4.25" customHeight="1">
      <c r="A218" s="2"/>
      <c r="B218" s="2"/>
      <c r="C218" s="3"/>
      <c r="D218" s="2"/>
      <c r="E218" s="4"/>
      <c r="F218" s="5"/>
      <c r="G218" s="4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4.25" customHeight="1">
      <c r="A219" s="2"/>
      <c r="B219" s="2"/>
      <c r="C219" s="3"/>
      <c r="D219" s="2"/>
      <c r="E219" s="4"/>
      <c r="F219" s="5"/>
      <c r="G219" s="4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4.25" customHeight="1">
      <c r="A220" s="2"/>
      <c r="B220" s="2"/>
      <c r="C220" s="3"/>
      <c r="D220" s="2"/>
      <c r="E220" s="4"/>
      <c r="F220" s="5"/>
      <c r="G220" s="4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4.25" customHeight="1">
      <c r="A221" s="2"/>
      <c r="B221" s="2"/>
      <c r="C221" s="3"/>
      <c r="D221" s="2"/>
      <c r="E221" s="4"/>
      <c r="F221" s="5"/>
      <c r="G221" s="4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C222" s="35"/>
    </row>
    <row r="223">
      <c r="C223" s="35"/>
    </row>
    <row r="224">
      <c r="C224" s="35"/>
    </row>
    <row r="225">
      <c r="C225" s="35"/>
    </row>
    <row r="226">
      <c r="C226" s="35"/>
    </row>
    <row r="227">
      <c r="C227" s="35"/>
    </row>
    <row r="228">
      <c r="C228" s="35"/>
    </row>
    <row r="229">
      <c r="C229" s="35"/>
    </row>
    <row r="230">
      <c r="C230" s="35"/>
    </row>
    <row r="231">
      <c r="C231" s="35"/>
    </row>
    <row r="232">
      <c r="C232" s="35"/>
    </row>
    <row r="233">
      <c r="C233" s="35"/>
    </row>
    <row r="234">
      <c r="C234" s="35"/>
    </row>
    <row r="235">
      <c r="C235" s="35"/>
    </row>
    <row r="236">
      <c r="C236" s="35"/>
    </row>
    <row r="237">
      <c r="C237" s="35"/>
    </row>
    <row r="238">
      <c r="C238" s="35"/>
    </row>
    <row r="239">
      <c r="C239" s="35"/>
    </row>
    <row r="240">
      <c r="C240" s="35"/>
    </row>
    <row r="241">
      <c r="C241" s="35"/>
    </row>
    <row r="242">
      <c r="C242" s="35"/>
    </row>
    <row r="243">
      <c r="C243" s="35"/>
    </row>
    <row r="244">
      <c r="C244" s="35"/>
    </row>
    <row r="245">
      <c r="C245" s="35"/>
    </row>
    <row r="246">
      <c r="C246" s="35"/>
    </row>
    <row r="247">
      <c r="C247" s="35"/>
    </row>
    <row r="248">
      <c r="C248" s="35"/>
    </row>
    <row r="249">
      <c r="C249" s="35"/>
    </row>
    <row r="250">
      <c r="C250" s="35"/>
    </row>
    <row r="251">
      <c r="C251" s="35"/>
    </row>
    <row r="252">
      <c r="C252" s="35"/>
    </row>
    <row r="253">
      <c r="C253" s="35"/>
    </row>
    <row r="254">
      <c r="C254" s="35"/>
    </row>
    <row r="255">
      <c r="C255" s="35"/>
    </row>
    <row r="256">
      <c r="C256" s="35"/>
    </row>
    <row r="257">
      <c r="C257" s="35"/>
    </row>
    <row r="258">
      <c r="C258" s="35"/>
    </row>
    <row r="259">
      <c r="C259" s="35"/>
    </row>
    <row r="260">
      <c r="C260" s="35"/>
    </row>
    <row r="261">
      <c r="C261" s="35"/>
    </row>
    <row r="262">
      <c r="C262" s="35"/>
    </row>
    <row r="263">
      <c r="C263" s="35"/>
    </row>
    <row r="264">
      <c r="C264" s="35"/>
    </row>
    <row r="265">
      <c r="C265" s="35"/>
    </row>
    <row r="266">
      <c r="C266" s="35"/>
    </row>
    <row r="267">
      <c r="C267" s="35"/>
    </row>
    <row r="268">
      <c r="C268" s="35"/>
    </row>
    <row r="269">
      <c r="C269" s="35"/>
    </row>
    <row r="270">
      <c r="C270" s="35"/>
    </row>
    <row r="271">
      <c r="C271" s="35"/>
    </row>
    <row r="272">
      <c r="C272" s="35"/>
    </row>
    <row r="273">
      <c r="C273" s="35"/>
    </row>
    <row r="274">
      <c r="C274" s="35"/>
    </row>
    <row r="275">
      <c r="C275" s="35"/>
    </row>
    <row r="276">
      <c r="C276" s="35"/>
    </row>
    <row r="277">
      <c r="C277" s="35"/>
    </row>
    <row r="278">
      <c r="C278" s="35"/>
    </row>
    <row r="279">
      <c r="C279" s="35"/>
    </row>
    <row r="280">
      <c r="C280" s="35"/>
    </row>
    <row r="281">
      <c r="C281" s="35"/>
    </row>
    <row r="282">
      <c r="C282" s="35"/>
    </row>
    <row r="283">
      <c r="C283" s="35"/>
    </row>
    <row r="284">
      <c r="C284" s="35"/>
    </row>
    <row r="285">
      <c r="C285" s="35"/>
    </row>
    <row r="286">
      <c r="C286" s="35"/>
    </row>
    <row r="287">
      <c r="C287" s="35"/>
    </row>
    <row r="288">
      <c r="C288" s="35"/>
    </row>
    <row r="289">
      <c r="C289" s="35"/>
    </row>
    <row r="290">
      <c r="C290" s="35"/>
    </row>
    <row r="291">
      <c r="C291" s="35"/>
    </row>
    <row r="292">
      <c r="C292" s="35"/>
    </row>
    <row r="293">
      <c r="C293" s="35"/>
    </row>
    <row r="294">
      <c r="C294" s="35"/>
    </row>
    <row r="295">
      <c r="C295" s="35"/>
    </row>
    <row r="296">
      <c r="C296" s="35"/>
    </row>
    <row r="297">
      <c r="C297" s="35"/>
    </row>
    <row r="298">
      <c r="C298" s="35"/>
    </row>
    <row r="299">
      <c r="C299" s="35"/>
    </row>
    <row r="300">
      <c r="C300" s="35"/>
    </row>
    <row r="301">
      <c r="C301" s="35"/>
    </row>
    <row r="302">
      <c r="C302" s="35"/>
    </row>
    <row r="303">
      <c r="C303" s="35"/>
    </row>
    <row r="304">
      <c r="C304" s="35"/>
    </row>
    <row r="305">
      <c r="C305" s="35"/>
    </row>
    <row r="306">
      <c r="C306" s="35"/>
    </row>
    <row r="307">
      <c r="C307" s="35"/>
    </row>
    <row r="308">
      <c r="C308" s="35"/>
    </row>
    <row r="309">
      <c r="C309" s="35"/>
    </row>
    <row r="310">
      <c r="C310" s="35"/>
    </row>
    <row r="311">
      <c r="C311" s="35"/>
    </row>
    <row r="312">
      <c r="C312" s="35"/>
    </row>
    <row r="313">
      <c r="C313" s="35"/>
    </row>
    <row r="314">
      <c r="C314" s="35"/>
    </row>
    <row r="315">
      <c r="C315" s="35"/>
    </row>
    <row r="316">
      <c r="C316" s="35"/>
    </row>
    <row r="317">
      <c r="C317" s="35"/>
    </row>
    <row r="318">
      <c r="C318" s="35"/>
    </row>
    <row r="319">
      <c r="C319" s="35"/>
    </row>
    <row r="320">
      <c r="C320" s="35"/>
    </row>
    <row r="321">
      <c r="C321" s="35"/>
    </row>
    <row r="322">
      <c r="C322" s="35"/>
    </row>
    <row r="323">
      <c r="C323" s="35"/>
    </row>
    <row r="324">
      <c r="C324" s="35"/>
    </row>
    <row r="325">
      <c r="C325" s="35"/>
    </row>
    <row r="326">
      <c r="C326" s="35"/>
    </row>
    <row r="327">
      <c r="C327" s="35"/>
    </row>
    <row r="328">
      <c r="C328" s="35"/>
    </row>
    <row r="329">
      <c r="C329" s="35"/>
    </row>
    <row r="330">
      <c r="C330" s="35"/>
    </row>
    <row r="331">
      <c r="C331" s="35"/>
    </row>
    <row r="332">
      <c r="C332" s="35"/>
    </row>
    <row r="333">
      <c r="C333" s="35"/>
    </row>
    <row r="334">
      <c r="C334" s="35"/>
    </row>
    <row r="335">
      <c r="C335" s="35"/>
    </row>
    <row r="336">
      <c r="C336" s="35"/>
    </row>
    <row r="337">
      <c r="C337" s="35"/>
    </row>
    <row r="338">
      <c r="C338" s="35"/>
    </row>
    <row r="339">
      <c r="C339" s="35"/>
    </row>
    <row r="340">
      <c r="C340" s="35"/>
    </row>
    <row r="341">
      <c r="C341" s="35"/>
    </row>
    <row r="342">
      <c r="C342" s="35"/>
    </row>
    <row r="343">
      <c r="C343" s="35"/>
    </row>
    <row r="344">
      <c r="C344" s="35"/>
    </row>
    <row r="345">
      <c r="C345" s="35"/>
    </row>
    <row r="346">
      <c r="C346" s="35"/>
    </row>
    <row r="347">
      <c r="C347" s="35"/>
    </row>
    <row r="348">
      <c r="C348" s="35"/>
    </row>
    <row r="349">
      <c r="C349" s="35"/>
    </row>
    <row r="350">
      <c r="C350" s="35"/>
    </row>
    <row r="351">
      <c r="C351" s="35"/>
    </row>
    <row r="352">
      <c r="C352" s="35"/>
    </row>
    <row r="353">
      <c r="C353" s="35"/>
    </row>
    <row r="354">
      <c r="C354" s="35"/>
    </row>
    <row r="355">
      <c r="C355" s="35"/>
    </row>
    <row r="356">
      <c r="C356" s="35"/>
    </row>
    <row r="357">
      <c r="C357" s="35"/>
    </row>
    <row r="358">
      <c r="C358" s="35"/>
    </row>
    <row r="359">
      <c r="C359" s="35"/>
    </row>
    <row r="360">
      <c r="C360" s="35"/>
    </row>
    <row r="361">
      <c r="C361" s="35"/>
    </row>
    <row r="362">
      <c r="C362" s="35"/>
    </row>
    <row r="363">
      <c r="C363" s="35"/>
    </row>
    <row r="364">
      <c r="C364" s="35"/>
    </row>
    <row r="365">
      <c r="C365" s="35"/>
    </row>
    <row r="366">
      <c r="C366" s="35"/>
    </row>
    <row r="367">
      <c r="C367" s="35"/>
    </row>
    <row r="368">
      <c r="C368" s="35"/>
    </row>
    <row r="369">
      <c r="C369" s="35"/>
    </row>
    <row r="370">
      <c r="C370" s="35"/>
    </row>
    <row r="371">
      <c r="C371" s="35"/>
    </row>
    <row r="372">
      <c r="C372" s="35"/>
    </row>
    <row r="373">
      <c r="C373" s="35"/>
    </row>
    <row r="374">
      <c r="C374" s="35"/>
    </row>
    <row r="375">
      <c r="C375" s="35"/>
    </row>
    <row r="376">
      <c r="C376" s="35"/>
    </row>
    <row r="377">
      <c r="C377" s="35"/>
    </row>
    <row r="378">
      <c r="C378" s="35"/>
    </row>
    <row r="379">
      <c r="C379" s="35"/>
    </row>
    <row r="380">
      <c r="C380" s="35"/>
    </row>
    <row r="381">
      <c r="C381" s="35"/>
    </row>
    <row r="382">
      <c r="C382" s="35"/>
    </row>
    <row r="383">
      <c r="C383" s="35"/>
    </row>
    <row r="384">
      <c r="C384" s="35"/>
    </row>
    <row r="385">
      <c r="C385" s="35"/>
    </row>
    <row r="386">
      <c r="C386" s="35"/>
    </row>
    <row r="387">
      <c r="C387" s="35"/>
    </row>
    <row r="388">
      <c r="C388" s="35"/>
    </row>
    <row r="389">
      <c r="C389" s="35"/>
    </row>
    <row r="390">
      <c r="C390" s="35"/>
    </row>
    <row r="391">
      <c r="C391" s="35"/>
    </row>
    <row r="392">
      <c r="C392" s="35"/>
    </row>
    <row r="393">
      <c r="C393" s="35"/>
    </row>
    <row r="394">
      <c r="C394" s="35"/>
    </row>
    <row r="395">
      <c r="C395" s="35"/>
    </row>
    <row r="396">
      <c r="C396" s="35"/>
    </row>
    <row r="397">
      <c r="C397" s="35"/>
    </row>
    <row r="398">
      <c r="C398" s="35"/>
    </row>
    <row r="399">
      <c r="C399" s="35"/>
    </row>
    <row r="400">
      <c r="C400" s="35"/>
    </row>
    <row r="401">
      <c r="C401" s="35"/>
    </row>
    <row r="402">
      <c r="C402" s="35"/>
    </row>
    <row r="403">
      <c r="C403" s="35"/>
    </row>
    <row r="404">
      <c r="C404" s="35"/>
    </row>
    <row r="405">
      <c r="C405" s="35"/>
    </row>
    <row r="406">
      <c r="C406" s="35"/>
    </row>
    <row r="407">
      <c r="C407" s="35"/>
    </row>
    <row r="408">
      <c r="C408" s="35"/>
    </row>
    <row r="409">
      <c r="C409" s="35"/>
    </row>
    <row r="410">
      <c r="C410" s="35"/>
    </row>
    <row r="411">
      <c r="C411" s="35"/>
    </row>
    <row r="412">
      <c r="C412" s="35"/>
    </row>
    <row r="413">
      <c r="C413" s="35"/>
    </row>
    <row r="414">
      <c r="C414" s="35"/>
    </row>
    <row r="415">
      <c r="C415" s="35"/>
    </row>
    <row r="416">
      <c r="C416" s="35"/>
    </row>
    <row r="417">
      <c r="C417" s="35"/>
    </row>
    <row r="418">
      <c r="C418" s="35"/>
    </row>
    <row r="419">
      <c r="C419" s="35"/>
    </row>
    <row r="420">
      <c r="C420" s="35"/>
    </row>
    <row r="421">
      <c r="C421" s="35"/>
    </row>
    <row r="422">
      <c r="C422" s="35"/>
    </row>
    <row r="423">
      <c r="C423" s="35"/>
    </row>
    <row r="424">
      <c r="C424" s="35"/>
    </row>
    <row r="425">
      <c r="C425" s="35"/>
    </row>
    <row r="426">
      <c r="C426" s="35"/>
    </row>
    <row r="427">
      <c r="C427" s="35"/>
    </row>
    <row r="428">
      <c r="C428" s="35"/>
    </row>
    <row r="429">
      <c r="C429" s="35"/>
    </row>
    <row r="430">
      <c r="C430" s="35"/>
    </row>
    <row r="431">
      <c r="C431" s="35"/>
    </row>
    <row r="432">
      <c r="C432" s="35"/>
    </row>
    <row r="433">
      <c r="C433" s="35"/>
    </row>
    <row r="434">
      <c r="C434" s="35"/>
    </row>
    <row r="435">
      <c r="C435" s="35"/>
    </row>
    <row r="436">
      <c r="C436" s="35"/>
    </row>
    <row r="437">
      <c r="C437" s="35"/>
    </row>
    <row r="438">
      <c r="C438" s="35"/>
    </row>
    <row r="439">
      <c r="C439" s="35"/>
    </row>
    <row r="440">
      <c r="C440" s="35"/>
    </row>
    <row r="441">
      <c r="C441" s="35"/>
    </row>
    <row r="442">
      <c r="C442" s="35"/>
    </row>
    <row r="443">
      <c r="C443" s="35"/>
    </row>
    <row r="444">
      <c r="C444" s="35"/>
    </row>
    <row r="445">
      <c r="C445" s="35"/>
    </row>
    <row r="446">
      <c r="C446" s="35"/>
    </row>
    <row r="447">
      <c r="C447" s="35"/>
    </row>
    <row r="448">
      <c r="C448" s="35"/>
    </row>
    <row r="449">
      <c r="C449" s="35"/>
    </row>
    <row r="450">
      <c r="C450" s="35"/>
    </row>
    <row r="451">
      <c r="C451" s="35"/>
    </row>
    <row r="452">
      <c r="C452" s="35"/>
    </row>
    <row r="453">
      <c r="C453" s="35"/>
    </row>
    <row r="454">
      <c r="C454" s="35"/>
    </row>
    <row r="455">
      <c r="C455" s="35"/>
    </row>
    <row r="456">
      <c r="C456" s="35"/>
    </row>
    <row r="457">
      <c r="C457" s="35"/>
    </row>
    <row r="458">
      <c r="C458" s="35"/>
    </row>
    <row r="459">
      <c r="C459" s="35"/>
    </row>
    <row r="460">
      <c r="C460" s="35"/>
    </row>
    <row r="461">
      <c r="C461" s="35"/>
    </row>
    <row r="462">
      <c r="C462" s="35"/>
    </row>
    <row r="463">
      <c r="C463" s="35"/>
    </row>
    <row r="464">
      <c r="C464" s="35"/>
    </row>
    <row r="465">
      <c r="C465" s="35"/>
    </row>
    <row r="466">
      <c r="C466" s="35"/>
    </row>
    <row r="467">
      <c r="C467" s="35"/>
    </row>
    <row r="468">
      <c r="C468" s="35"/>
    </row>
    <row r="469">
      <c r="C469" s="35"/>
    </row>
    <row r="470">
      <c r="C470" s="35"/>
    </row>
    <row r="471">
      <c r="C471" s="35"/>
    </row>
    <row r="472">
      <c r="C472" s="35"/>
    </row>
    <row r="473">
      <c r="C473" s="35"/>
    </row>
    <row r="474">
      <c r="C474" s="35"/>
    </row>
    <row r="475">
      <c r="C475" s="35"/>
    </row>
    <row r="476">
      <c r="C476" s="35"/>
    </row>
    <row r="477">
      <c r="C477" s="35"/>
    </row>
    <row r="478">
      <c r="C478" s="35"/>
    </row>
    <row r="479">
      <c r="C479" s="35"/>
    </row>
    <row r="480">
      <c r="C480" s="35"/>
    </row>
    <row r="481">
      <c r="C481" s="35"/>
    </row>
    <row r="482">
      <c r="C482" s="35"/>
    </row>
    <row r="483">
      <c r="C483" s="35"/>
    </row>
    <row r="484">
      <c r="C484" s="35"/>
    </row>
    <row r="485">
      <c r="C485" s="35"/>
    </row>
    <row r="486">
      <c r="C486" s="35"/>
    </row>
    <row r="487">
      <c r="C487" s="35"/>
    </row>
    <row r="488">
      <c r="C488" s="35"/>
    </row>
    <row r="489">
      <c r="C489" s="35"/>
    </row>
    <row r="490">
      <c r="C490" s="35"/>
    </row>
    <row r="491">
      <c r="C491" s="35"/>
    </row>
    <row r="492">
      <c r="C492" s="35"/>
    </row>
    <row r="493">
      <c r="C493" s="35"/>
    </row>
    <row r="494">
      <c r="C494" s="35"/>
    </row>
    <row r="495">
      <c r="C495" s="35"/>
    </row>
    <row r="496">
      <c r="C496" s="35"/>
    </row>
    <row r="497">
      <c r="C497" s="35"/>
    </row>
    <row r="498">
      <c r="C498" s="35"/>
    </row>
    <row r="499">
      <c r="C499" s="35"/>
    </row>
    <row r="500">
      <c r="C500" s="35"/>
    </row>
    <row r="501">
      <c r="C501" s="35"/>
    </row>
    <row r="502">
      <c r="C502" s="35"/>
    </row>
    <row r="503">
      <c r="C503" s="35"/>
    </row>
    <row r="504">
      <c r="C504" s="35"/>
    </row>
    <row r="505">
      <c r="C505" s="35"/>
    </row>
    <row r="506">
      <c r="C506" s="35"/>
    </row>
    <row r="507">
      <c r="C507" s="35"/>
    </row>
    <row r="508">
      <c r="C508" s="35"/>
    </row>
    <row r="509">
      <c r="C509" s="35"/>
    </row>
    <row r="510">
      <c r="C510" s="35"/>
    </row>
    <row r="511">
      <c r="C511" s="35"/>
    </row>
    <row r="512">
      <c r="C512" s="35"/>
    </row>
    <row r="513">
      <c r="C513" s="35"/>
    </row>
    <row r="514">
      <c r="C514" s="35"/>
    </row>
    <row r="515">
      <c r="C515" s="35"/>
    </row>
    <row r="516">
      <c r="C516" s="35"/>
    </row>
    <row r="517">
      <c r="C517" s="35"/>
    </row>
    <row r="518">
      <c r="C518" s="35"/>
    </row>
    <row r="519">
      <c r="C519" s="35"/>
    </row>
    <row r="520">
      <c r="C520" s="35"/>
    </row>
    <row r="521">
      <c r="C521" s="35"/>
    </row>
    <row r="522">
      <c r="C522" s="35"/>
    </row>
    <row r="523">
      <c r="C523" s="35"/>
    </row>
    <row r="524">
      <c r="C524" s="35"/>
    </row>
    <row r="525">
      <c r="C525" s="35"/>
    </row>
    <row r="526">
      <c r="C526" s="35"/>
    </row>
    <row r="527">
      <c r="C527" s="35"/>
    </row>
    <row r="528">
      <c r="C528" s="35"/>
    </row>
    <row r="529">
      <c r="C529" s="35"/>
    </row>
    <row r="530">
      <c r="C530" s="35"/>
    </row>
    <row r="531">
      <c r="C531" s="35"/>
    </row>
    <row r="532">
      <c r="C532" s="35"/>
    </row>
    <row r="533">
      <c r="C533" s="35"/>
    </row>
    <row r="534">
      <c r="C534" s="35"/>
    </row>
    <row r="535">
      <c r="C535" s="35"/>
    </row>
    <row r="536">
      <c r="C536" s="35"/>
    </row>
    <row r="537">
      <c r="C537" s="35"/>
    </row>
    <row r="538">
      <c r="C538" s="35"/>
    </row>
    <row r="539">
      <c r="C539" s="35"/>
    </row>
    <row r="540">
      <c r="C540" s="35"/>
    </row>
    <row r="541">
      <c r="C541" s="35"/>
    </row>
    <row r="542">
      <c r="C542" s="35"/>
    </row>
    <row r="543">
      <c r="C543" s="35"/>
    </row>
    <row r="544">
      <c r="C544" s="35"/>
    </row>
    <row r="545">
      <c r="C545" s="35"/>
    </row>
    <row r="546">
      <c r="C546" s="35"/>
    </row>
    <row r="547">
      <c r="C547" s="35"/>
    </row>
    <row r="548">
      <c r="C548" s="35"/>
    </row>
    <row r="549">
      <c r="C549" s="35"/>
    </row>
    <row r="550">
      <c r="C550" s="35"/>
    </row>
    <row r="551">
      <c r="C551" s="35"/>
    </row>
    <row r="552">
      <c r="C552" s="35"/>
    </row>
    <row r="553">
      <c r="C553" s="35"/>
    </row>
    <row r="554">
      <c r="C554" s="35"/>
    </row>
    <row r="555">
      <c r="C555" s="35"/>
    </row>
    <row r="556">
      <c r="C556" s="35"/>
    </row>
    <row r="557">
      <c r="C557" s="35"/>
    </row>
    <row r="558">
      <c r="C558" s="35"/>
    </row>
    <row r="559">
      <c r="C559" s="35"/>
    </row>
    <row r="560">
      <c r="C560" s="35"/>
    </row>
    <row r="561">
      <c r="C561" s="35"/>
    </row>
    <row r="562">
      <c r="C562" s="35"/>
    </row>
    <row r="563">
      <c r="C563" s="35"/>
    </row>
    <row r="564">
      <c r="C564" s="35"/>
    </row>
    <row r="565">
      <c r="C565" s="35"/>
    </row>
    <row r="566">
      <c r="C566" s="35"/>
    </row>
    <row r="567">
      <c r="C567" s="35"/>
    </row>
    <row r="568">
      <c r="C568" s="35"/>
    </row>
    <row r="569">
      <c r="C569" s="35"/>
    </row>
    <row r="570">
      <c r="C570" s="35"/>
    </row>
    <row r="571">
      <c r="C571" s="35"/>
    </row>
    <row r="572">
      <c r="C572" s="35"/>
    </row>
    <row r="573">
      <c r="C573" s="35"/>
    </row>
    <row r="574">
      <c r="C574" s="35"/>
    </row>
    <row r="575">
      <c r="C575" s="35"/>
    </row>
    <row r="576">
      <c r="C576" s="35"/>
    </row>
    <row r="577">
      <c r="C577" s="35"/>
    </row>
    <row r="578">
      <c r="C578" s="35"/>
    </row>
    <row r="579">
      <c r="C579" s="35"/>
    </row>
    <row r="580">
      <c r="C580" s="35"/>
    </row>
    <row r="581">
      <c r="C581" s="35"/>
    </row>
    <row r="582">
      <c r="C582" s="35"/>
    </row>
    <row r="583">
      <c r="C583" s="35"/>
    </row>
    <row r="584">
      <c r="C584" s="35"/>
    </row>
    <row r="585">
      <c r="C585" s="35"/>
    </row>
    <row r="586">
      <c r="C586" s="35"/>
    </row>
    <row r="587">
      <c r="C587" s="35"/>
    </row>
    <row r="588">
      <c r="C588" s="35"/>
    </row>
    <row r="589">
      <c r="C589" s="35"/>
    </row>
    <row r="590">
      <c r="C590" s="35"/>
    </row>
    <row r="591">
      <c r="C591" s="35"/>
    </row>
    <row r="592">
      <c r="C592" s="35"/>
    </row>
    <row r="593">
      <c r="C593" s="35"/>
    </row>
    <row r="594">
      <c r="C594" s="35"/>
    </row>
    <row r="595">
      <c r="C595" s="35"/>
    </row>
    <row r="596">
      <c r="C596" s="35"/>
    </row>
    <row r="597">
      <c r="C597" s="35"/>
    </row>
    <row r="598">
      <c r="C598" s="35"/>
    </row>
    <row r="599">
      <c r="C599" s="35"/>
    </row>
    <row r="600">
      <c r="C600" s="35"/>
    </row>
    <row r="601">
      <c r="C601" s="35"/>
    </row>
    <row r="602">
      <c r="C602" s="35"/>
    </row>
    <row r="603">
      <c r="C603" s="35"/>
    </row>
    <row r="604">
      <c r="C604" s="35"/>
    </row>
    <row r="605">
      <c r="C605" s="35"/>
    </row>
    <row r="606">
      <c r="C606" s="35"/>
    </row>
    <row r="607">
      <c r="C607" s="35"/>
    </row>
    <row r="608">
      <c r="C608" s="35"/>
    </row>
    <row r="609">
      <c r="C609" s="35"/>
    </row>
    <row r="610">
      <c r="C610" s="35"/>
    </row>
    <row r="611">
      <c r="C611" s="35"/>
    </row>
    <row r="612">
      <c r="C612" s="35"/>
    </row>
    <row r="613">
      <c r="C613" s="35"/>
    </row>
    <row r="614">
      <c r="C614" s="35"/>
    </row>
    <row r="615">
      <c r="C615" s="35"/>
    </row>
    <row r="616">
      <c r="C616" s="35"/>
    </row>
    <row r="617">
      <c r="C617" s="35"/>
    </row>
    <row r="618">
      <c r="C618" s="35"/>
    </row>
    <row r="619">
      <c r="C619" s="35"/>
    </row>
    <row r="620">
      <c r="C620" s="35"/>
    </row>
    <row r="621">
      <c r="C621" s="35"/>
    </row>
    <row r="622">
      <c r="C622" s="35"/>
    </row>
    <row r="623">
      <c r="C623" s="35"/>
    </row>
    <row r="624">
      <c r="C624" s="35"/>
    </row>
    <row r="625">
      <c r="C625" s="35"/>
    </row>
    <row r="626">
      <c r="C626" s="35"/>
    </row>
    <row r="627">
      <c r="C627" s="35"/>
    </row>
    <row r="628">
      <c r="C628" s="35"/>
    </row>
    <row r="629">
      <c r="C629" s="35"/>
    </row>
    <row r="630">
      <c r="C630" s="35"/>
    </row>
    <row r="631">
      <c r="C631" s="35"/>
    </row>
    <row r="632">
      <c r="C632" s="35"/>
    </row>
    <row r="633">
      <c r="C633" s="35"/>
    </row>
    <row r="634">
      <c r="C634" s="35"/>
    </row>
    <row r="635">
      <c r="C635" s="35"/>
    </row>
    <row r="636">
      <c r="C636" s="35"/>
    </row>
    <row r="637">
      <c r="C637" s="35"/>
    </row>
    <row r="638">
      <c r="C638" s="35"/>
    </row>
    <row r="639">
      <c r="C639" s="35"/>
    </row>
    <row r="640">
      <c r="C640" s="35"/>
    </row>
    <row r="641">
      <c r="C641" s="35"/>
    </row>
    <row r="642">
      <c r="C642" s="35"/>
    </row>
    <row r="643">
      <c r="C643" s="35"/>
    </row>
    <row r="644">
      <c r="C644" s="35"/>
    </row>
    <row r="645">
      <c r="C645" s="35"/>
    </row>
    <row r="646">
      <c r="C646" s="35"/>
    </row>
    <row r="647">
      <c r="C647" s="35"/>
    </row>
    <row r="648">
      <c r="C648" s="35"/>
    </row>
    <row r="649">
      <c r="C649" s="35"/>
    </row>
    <row r="650">
      <c r="C650" s="35"/>
    </row>
    <row r="651">
      <c r="C651" s="35"/>
    </row>
    <row r="652">
      <c r="C652" s="35"/>
    </row>
    <row r="653">
      <c r="C653" s="35"/>
    </row>
    <row r="654">
      <c r="C654" s="35"/>
    </row>
    <row r="655">
      <c r="C655" s="35"/>
    </row>
    <row r="656">
      <c r="C656" s="35"/>
    </row>
    <row r="657">
      <c r="C657" s="35"/>
    </row>
    <row r="658">
      <c r="C658" s="35"/>
    </row>
    <row r="659">
      <c r="C659" s="35"/>
    </row>
    <row r="660">
      <c r="C660" s="35"/>
    </row>
    <row r="661">
      <c r="C661" s="35"/>
    </row>
    <row r="662">
      <c r="C662" s="35"/>
    </row>
    <row r="663">
      <c r="C663" s="35"/>
    </row>
    <row r="664">
      <c r="C664" s="35"/>
    </row>
    <row r="665">
      <c r="C665" s="35"/>
    </row>
    <row r="666">
      <c r="C666" s="35"/>
    </row>
    <row r="667">
      <c r="C667" s="35"/>
    </row>
    <row r="668">
      <c r="C668" s="35"/>
    </row>
    <row r="669">
      <c r="C669" s="35"/>
    </row>
    <row r="670">
      <c r="C670" s="35"/>
    </row>
    <row r="671">
      <c r="C671" s="35"/>
    </row>
    <row r="672">
      <c r="C672" s="35"/>
    </row>
    <row r="673">
      <c r="C673" s="35"/>
    </row>
    <row r="674">
      <c r="C674" s="35"/>
    </row>
    <row r="675">
      <c r="C675" s="35"/>
    </row>
    <row r="676">
      <c r="C676" s="35"/>
    </row>
    <row r="677">
      <c r="C677" s="35"/>
    </row>
    <row r="678">
      <c r="C678" s="35"/>
    </row>
    <row r="679">
      <c r="C679" s="35"/>
    </row>
    <row r="680">
      <c r="C680" s="35"/>
    </row>
    <row r="681">
      <c r="C681" s="35"/>
    </row>
    <row r="682">
      <c r="C682" s="35"/>
    </row>
    <row r="683">
      <c r="C683" s="35"/>
    </row>
    <row r="684">
      <c r="C684" s="35"/>
    </row>
    <row r="685">
      <c r="C685" s="35"/>
    </row>
    <row r="686">
      <c r="C686" s="35"/>
    </row>
    <row r="687">
      <c r="C687" s="35"/>
    </row>
    <row r="688">
      <c r="C688" s="35"/>
    </row>
    <row r="689">
      <c r="C689" s="35"/>
    </row>
    <row r="690">
      <c r="C690" s="35"/>
    </row>
    <row r="691">
      <c r="C691" s="35"/>
    </row>
    <row r="692">
      <c r="C692" s="35"/>
    </row>
    <row r="693">
      <c r="C693" s="35"/>
    </row>
    <row r="694">
      <c r="C694" s="35"/>
    </row>
    <row r="695">
      <c r="C695" s="35"/>
    </row>
    <row r="696">
      <c r="C696" s="35"/>
    </row>
    <row r="697">
      <c r="C697" s="35"/>
    </row>
    <row r="698">
      <c r="C698" s="35"/>
    </row>
    <row r="699">
      <c r="C699" s="35"/>
    </row>
    <row r="700">
      <c r="C700" s="35"/>
    </row>
    <row r="701">
      <c r="C701" s="35"/>
    </row>
    <row r="702">
      <c r="C702" s="35"/>
    </row>
    <row r="703">
      <c r="C703" s="35"/>
    </row>
    <row r="704">
      <c r="C704" s="35"/>
    </row>
    <row r="705">
      <c r="C705" s="35"/>
    </row>
    <row r="706">
      <c r="C706" s="35"/>
    </row>
    <row r="707">
      <c r="C707" s="35"/>
    </row>
    <row r="708">
      <c r="C708" s="35"/>
    </row>
    <row r="709">
      <c r="C709" s="35"/>
    </row>
    <row r="710">
      <c r="C710" s="35"/>
    </row>
    <row r="711">
      <c r="C711" s="35"/>
    </row>
    <row r="712">
      <c r="C712" s="35"/>
    </row>
    <row r="713">
      <c r="C713" s="35"/>
    </row>
    <row r="714">
      <c r="C714" s="35"/>
    </row>
    <row r="715">
      <c r="C715" s="35"/>
    </row>
    <row r="716">
      <c r="C716" s="35"/>
    </row>
    <row r="717">
      <c r="C717" s="35"/>
    </row>
    <row r="718">
      <c r="C718" s="35"/>
    </row>
    <row r="719">
      <c r="C719" s="35"/>
    </row>
    <row r="720">
      <c r="C720" s="35"/>
    </row>
    <row r="721">
      <c r="C721" s="35"/>
    </row>
    <row r="722">
      <c r="C722" s="35"/>
    </row>
    <row r="723">
      <c r="C723" s="35"/>
    </row>
    <row r="724">
      <c r="C724" s="35"/>
    </row>
    <row r="725">
      <c r="C725" s="35"/>
    </row>
    <row r="726">
      <c r="C726" s="35"/>
    </row>
    <row r="727">
      <c r="C727" s="35"/>
    </row>
    <row r="728">
      <c r="C728" s="35"/>
    </row>
    <row r="729">
      <c r="C729" s="35"/>
    </row>
    <row r="730">
      <c r="C730" s="35"/>
    </row>
    <row r="731">
      <c r="C731" s="35"/>
    </row>
    <row r="732">
      <c r="C732" s="35"/>
    </row>
    <row r="733">
      <c r="C733" s="35"/>
    </row>
    <row r="734">
      <c r="C734" s="35"/>
    </row>
    <row r="735">
      <c r="C735" s="35"/>
    </row>
    <row r="736">
      <c r="C736" s="35"/>
    </row>
    <row r="737">
      <c r="C737" s="35"/>
    </row>
    <row r="738">
      <c r="C738" s="35"/>
    </row>
    <row r="739">
      <c r="C739" s="35"/>
    </row>
    <row r="740">
      <c r="C740" s="35"/>
    </row>
    <row r="741">
      <c r="C741" s="35"/>
    </row>
    <row r="742">
      <c r="C742" s="35"/>
    </row>
    <row r="743">
      <c r="C743" s="35"/>
    </row>
    <row r="744">
      <c r="C744" s="35"/>
    </row>
    <row r="745">
      <c r="C745" s="35"/>
    </row>
    <row r="746">
      <c r="C746" s="35"/>
    </row>
    <row r="747">
      <c r="C747" s="35"/>
    </row>
    <row r="748">
      <c r="C748" s="35"/>
    </row>
    <row r="749">
      <c r="C749" s="35"/>
    </row>
    <row r="750">
      <c r="C750" s="35"/>
    </row>
    <row r="751">
      <c r="C751" s="35"/>
    </row>
    <row r="752">
      <c r="C752" s="35"/>
    </row>
    <row r="753">
      <c r="C753" s="35"/>
    </row>
    <row r="754">
      <c r="C754" s="35"/>
    </row>
    <row r="755">
      <c r="C755" s="35"/>
    </row>
    <row r="756">
      <c r="C756" s="35"/>
    </row>
    <row r="757">
      <c r="C757" s="35"/>
    </row>
    <row r="758">
      <c r="C758" s="35"/>
    </row>
    <row r="759">
      <c r="C759" s="35"/>
    </row>
    <row r="760">
      <c r="C760" s="35"/>
    </row>
    <row r="761">
      <c r="C761" s="35"/>
    </row>
    <row r="762">
      <c r="C762" s="35"/>
    </row>
    <row r="763">
      <c r="C763" s="35"/>
    </row>
    <row r="764">
      <c r="C764" s="35"/>
    </row>
    <row r="765">
      <c r="C765" s="35"/>
    </row>
    <row r="766">
      <c r="C766" s="35"/>
    </row>
    <row r="767">
      <c r="C767" s="35"/>
    </row>
    <row r="768">
      <c r="C768" s="35"/>
    </row>
    <row r="769">
      <c r="C769" s="35"/>
    </row>
    <row r="770">
      <c r="C770" s="35"/>
    </row>
    <row r="771">
      <c r="C771" s="35"/>
    </row>
    <row r="772">
      <c r="C772" s="35"/>
    </row>
    <row r="773">
      <c r="C773" s="35"/>
    </row>
    <row r="774">
      <c r="C774" s="35"/>
    </row>
    <row r="775">
      <c r="C775" s="35"/>
    </row>
    <row r="776">
      <c r="C776" s="35"/>
    </row>
    <row r="777">
      <c r="C777" s="35"/>
    </row>
    <row r="778">
      <c r="C778" s="35"/>
    </row>
    <row r="779">
      <c r="C779" s="35"/>
    </row>
    <row r="780">
      <c r="C780" s="35"/>
    </row>
    <row r="781">
      <c r="C781" s="35"/>
    </row>
    <row r="782">
      <c r="C782" s="35"/>
    </row>
    <row r="783">
      <c r="C783" s="35"/>
    </row>
    <row r="784">
      <c r="C784" s="35"/>
    </row>
    <row r="785">
      <c r="C785" s="35"/>
    </row>
    <row r="786">
      <c r="C786" s="35"/>
    </row>
    <row r="787">
      <c r="C787" s="35"/>
    </row>
    <row r="788">
      <c r="C788" s="35"/>
    </row>
    <row r="789">
      <c r="C789" s="35"/>
    </row>
    <row r="790">
      <c r="C790" s="35"/>
    </row>
    <row r="791">
      <c r="C791" s="35"/>
    </row>
    <row r="792">
      <c r="C792" s="35"/>
    </row>
    <row r="793">
      <c r="C793" s="35"/>
    </row>
    <row r="794">
      <c r="C794" s="35"/>
    </row>
    <row r="795">
      <c r="C795" s="35"/>
    </row>
    <row r="796">
      <c r="C796" s="35"/>
    </row>
    <row r="797">
      <c r="C797" s="35"/>
    </row>
    <row r="798">
      <c r="C798" s="35"/>
    </row>
    <row r="799">
      <c r="C799" s="35"/>
    </row>
    <row r="800">
      <c r="C800" s="35"/>
    </row>
    <row r="801">
      <c r="C801" s="35"/>
    </row>
    <row r="802">
      <c r="C802" s="35"/>
    </row>
    <row r="803">
      <c r="C803" s="35"/>
    </row>
    <row r="804">
      <c r="C804" s="35"/>
    </row>
    <row r="805">
      <c r="C805" s="35"/>
    </row>
    <row r="806">
      <c r="C806" s="35"/>
    </row>
    <row r="807">
      <c r="C807" s="35"/>
    </row>
    <row r="808">
      <c r="C808" s="35"/>
    </row>
    <row r="809">
      <c r="C809" s="35"/>
    </row>
    <row r="810">
      <c r="C810" s="35"/>
    </row>
    <row r="811">
      <c r="C811" s="35"/>
    </row>
    <row r="812">
      <c r="C812" s="35"/>
    </row>
    <row r="813">
      <c r="C813" s="35"/>
    </row>
    <row r="814">
      <c r="C814" s="35"/>
    </row>
    <row r="815">
      <c r="C815" s="35"/>
    </row>
    <row r="816">
      <c r="C816" s="35"/>
    </row>
    <row r="817">
      <c r="C817" s="35"/>
    </row>
    <row r="818">
      <c r="C818" s="35"/>
    </row>
    <row r="819">
      <c r="C819" s="35"/>
    </row>
    <row r="820">
      <c r="C820" s="35"/>
    </row>
    <row r="821">
      <c r="C821" s="35"/>
    </row>
    <row r="822">
      <c r="C822" s="35"/>
    </row>
    <row r="823">
      <c r="C823" s="35"/>
    </row>
    <row r="824">
      <c r="C824" s="35"/>
    </row>
    <row r="825">
      <c r="C825" s="35"/>
    </row>
    <row r="826">
      <c r="C826" s="35"/>
    </row>
    <row r="827">
      <c r="C827" s="35"/>
    </row>
    <row r="828">
      <c r="C828" s="35"/>
    </row>
    <row r="829">
      <c r="C829" s="35"/>
    </row>
    <row r="830">
      <c r="C830" s="35"/>
    </row>
    <row r="831">
      <c r="C831" s="35"/>
    </row>
    <row r="832">
      <c r="C832" s="35"/>
    </row>
    <row r="833">
      <c r="C833" s="35"/>
    </row>
    <row r="834">
      <c r="C834" s="35"/>
    </row>
    <row r="835">
      <c r="C835" s="35"/>
    </row>
    <row r="836">
      <c r="C836" s="35"/>
    </row>
    <row r="837">
      <c r="C837" s="35"/>
    </row>
    <row r="838">
      <c r="C838" s="35"/>
    </row>
    <row r="839">
      <c r="C839" s="35"/>
    </row>
    <row r="840">
      <c r="C840" s="35"/>
    </row>
    <row r="841">
      <c r="C841" s="35"/>
    </row>
    <row r="842">
      <c r="C842" s="35"/>
    </row>
    <row r="843">
      <c r="C843" s="35"/>
    </row>
    <row r="844">
      <c r="C844" s="35"/>
    </row>
    <row r="845">
      <c r="C845" s="35"/>
    </row>
    <row r="846">
      <c r="C846" s="35"/>
    </row>
    <row r="847">
      <c r="C847" s="35"/>
    </row>
    <row r="848">
      <c r="C848" s="35"/>
    </row>
    <row r="849">
      <c r="C849" s="35"/>
    </row>
    <row r="850">
      <c r="C850" s="35"/>
    </row>
    <row r="851">
      <c r="C851" s="35"/>
    </row>
    <row r="852">
      <c r="C852" s="35"/>
    </row>
    <row r="853">
      <c r="C853" s="35"/>
    </row>
    <row r="854">
      <c r="C854" s="35"/>
    </row>
    <row r="855">
      <c r="C855" s="35"/>
    </row>
    <row r="856">
      <c r="C856" s="35"/>
    </row>
    <row r="857">
      <c r="C857" s="35"/>
    </row>
    <row r="858">
      <c r="C858" s="35"/>
    </row>
    <row r="859">
      <c r="C859" s="35"/>
    </row>
    <row r="860">
      <c r="C860" s="35"/>
    </row>
    <row r="861">
      <c r="C861" s="35"/>
    </row>
    <row r="862">
      <c r="C862" s="35"/>
    </row>
    <row r="863">
      <c r="C863" s="35"/>
    </row>
    <row r="864">
      <c r="C864" s="35"/>
    </row>
    <row r="865">
      <c r="C865" s="35"/>
    </row>
    <row r="866">
      <c r="C866" s="35"/>
    </row>
    <row r="867">
      <c r="C867" s="35"/>
    </row>
    <row r="868">
      <c r="C868" s="35"/>
    </row>
    <row r="869">
      <c r="C869" s="35"/>
    </row>
    <row r="870">
      <c r="C870" s="35"/>
    </row>
    <row r="871">
      <c r="C871" s="35"/>
    </row>
    <row r="872">
      <c r="C872" s="35"/>
    </row>
    <row r="873">
      <c r="C873" s="35"/>
    </row>
    <row r="874">
      <c r="C874" s="35"/>
    </row>
    <row r="875">
      <c r="C875" s="35"/>
    </row>
    <row r="876">
      <c r="C876" s="35"/>
    </row>
    <row r="877">
      <c r="C877" s="35"/>
    </row>
    <row r="878">
      <c r="C878" s="35"/>
    </row>
    <row r="879">
      <c r="C879" s="35"/>
    </row>
    <row r="880">
      <c r="C880" s="35"/>
    </row>
    <row r="881">
      <c r="C881" s="35"/>
    </row>
    <row r="882">
      <c r="C882" s="35"/>
    </row>
    <row r="883">
      <c r="C883" s="35"/>
    </row>
    <row r="884">
      <c r="C884" s="35"/>
    </row>
    <row r="885">
      <c r="C885" s="35"/>
    </row>
    <row r="886">
      <c r="C886" s="35"/>
    </row>
    <row r="887">
      <c r="C887" s="35"/>
    </row>
    <row r="888">
      <c r="C888" s="35"/>
    </row>
    <row r="889">
      <c r="C889" s="35"/>
    </row>
    <row r="890">
      <c r="C890" s="35"/>
    </row>
    <row r="891">
      <c r="C891" s="35"/>
    </row>
    <row r="892">
      <c r="C892" s="35"/>
    </row>
    <row r="893">
      <c r="C893" s="35"/>
    </row>
    <row r="894">
      <c r="C894" s="35"/>
    </row>
    <row r="895">
      <c r="C895" s="35"/>
    </row>
    <row r="896">
      <c r="C896" s="35"/>
    </row>
    <row r="897">
      <c r="C897" s="35"/>
    </row>
    <row r="898">
      <c r="C898" s="35"/>
    </row>
    <row r="899">
      <c r="C899" s="35"/>
    </row>
    <row r="900">
      <c r="C900" s="35"/>
    </row>
    <row r="901">
      <c r="C901" s="35"/>
    </row>
    <row r="902">
      <c r="C902" s="35"/>
    </row>
    <row r="903">
      <c r="C903" s="35"/>
    </row>
    <row r="904">
      <c r="C904" s="35"/>
    </row>
    <row r="905">
      <c r="C905" s="35"/>
    </row>
    <row r="906">
      <c r="C906" s="35"/>
    </row>
    <row r="907">
      <c r="C907" s="35"/>
    </row>
    <row r="908">
      <c r="C908" s="35"/>
    </row>
    <row r="909">
      <c r="C909" s="35"/>
    </row>
    <row r="910">
      <c r="C910" s="35"/>
    </row>
    <row r="911">
      <c r="C911" s="35"/>
    </row>
    <row r="912">
      <c r="C912" s="35"/>
    </row>
    <row r="913">
      <c r="C913" s="35"/>
    </row>
    <row r="914">
      <c r="C914" s="35"/>
    </row>
    <row r="915">
      <c r="C915" s="35"/>
    </row>
    <row r="916">
      <c r="C916" s="35"/>
    </row>
    <row r="917">
      <c r="C917" s="35"/>
    </row>
    <row r="918">
      <c r="C918" s="35"/>
    </row>
    <row r="919">
      <c r="C919" s="35"/>
    </row>
    <row r="920">
      <c r="C920" s="35"/>
    </row>
    <row r="921">
      <c r="C921" s="35"/>
    </row>
    <row r="922">
      <c r="C922" s="35"/>
    </row>
    <row r="923">
      <c r="C923" s="35"/>
    </row>
    <row r="924">
      <c r="C924" s="35"/>
    </row>
    <row r="925">
      <c r="C925" s="35"/>
    </row>
    <row r="926">
      <c r="C926" s="35"/>
    </row>
    <row r="927">
      <c r="C927" s="35"/>
    </row>
    <row r="928">
      <c r="C928" s="35"/>
    </row>
    <row r="929">
      <c r="C929" s="35"/>
    </row>
    <row r="930">
      <c r="C930" s="35"/>
    </row>
    <row r="931">
      <c r="C931" s="35"/>
    </row>
    <row r="932">
      <c r="C932" s="35"/>
    </row>
    <row r="933">
      <c r="C933" s="35"/>
    </row>
    <row r="934">
      <c r="C934" s="35"/>
    </row>
    <row r="935">
      <c r="C935" s="35"/>
    </row>
    <row r="936">
      <c r="C936" s="35"/>
    </row>
    <row r="937">
      <c r="C937" s="35"/>
    </row>
    <row r="938">
      <c r="C938" s="35"/>
    </row>
    <row r="939">
      <c r="C939" s="35"/>
    </row>
    <row r="940">
      <c r="C940" s="35"/>
    </row>
    <row r="941">
      <c r="C941" s="35"/>
    </row>
    <row r="942">
      <c r="C942" s="35"/>
    </row>
    <row r="943">
      <c r="C943" s="35"/>
    </row>
    <row r="944">
      <c r="C944" s="35"/>
    </row>
    <row r="945">
      <c r="C945" s="35"/>
    </row>
    <row r="946">
      <c r="C946" s="35"/>
    </row>
    <row r="947">
      <c r="C947" s="35"/>
    </row>
    <row r="948">
      <c r="C948" s="35"/>
    </row>
    <row r="949">
      <c r="C949" s="35"/>
    </row>
    <row r="950">
      <c r="C950" s="35"/>
    </row>
    <row r="951">
      <c r="C951" s="35"/>
    </row>
    <row r="952">
      <c r="C952" s="35"/>
    </row>
    <row r="953">
      <c r="C953" s="35"/>
    </row>
    <row r="954">
      <c r="C954" s="35"/>
    </row>
    <row r="955">
      <c r="C955" s="35"/>
    </row>
    <row r="956">
      <c r="C956" s="35"/>
    </row>
    <row r="957">
      <c r="C957" s="35"/>
    </row>
    <row r="958">
      <c r="C958" s="35"/>
    </row>
    <row r="959">
      <c r="C959" s="35"/>
    </row>
    <row r="960">
      <c r="C960" s="35"/>
    </row>
    <row r="961">
      <c r="C961" s="35"/>
    </row>
    <row r="962">
      <c r="C962" s="35"/>
    </row>
    <row r="963">
      <c r="C963" s="35"/>
    </row>
    <row r="964">
      <c r="C964" s="35"/>
    </row>
    <row r="965">
      <c r="C965" s="35"/>
    </row>
    <row r="966">
      <c r="C966" s="35"/>
    </row>
    <row r="967">
      <c r="C967" s="35"/>
    </row>
    <row r="968">
      <c r="C968" s="35"/>
    </row>
    <row r="969">
      <c r="C969" s="35"/>
    </row>
    <row r="970">
      <c r="C970" s="35"/>
    </row>
    <row r="971">
      <c r="C971" s="35"/>
    </row>
    <row r="972">
      <c r="C972" s="35"/>
    </row>
    <row r="973">
      <c r="C973" s="35"/>
    </row>
    <row r="974">
      <c r="C974" s="35"/>
    </row>
    <row r="975">
      <c r="C975" s="35"/>
    </row>
    <row r="976">
      <c r="C976" s="35"/>
    </row>
    <row r="977">
      <c r="C977" s="35"/>
    </row>
    <row r="978">
      <c r="C978" s="35"/>
    </row>
    <row r="979">
      <c r="C979" s="35"/>
    </row>
    <row r="980">
      <c r="C980" s="35"/>
    </row>
    <row r="981">
      <c r="C981" s="35"/>
    </row>
    <row r="982">
      <c r="C982" s="35"/>
    </row>
    <row r="983">
      <c r="C983" s="35"/>
    </row>
    <row r="984">
      <c r="C984" s="35"/>
    </row>
    <row r="985">
      <c r="C985" s="35"/>
    </row>
    <row r="986">
      <c r="C986" s="35"/>
    </row>
    <row r="987">
      <c r="C987" s="35"/>
    </row>
    <row r="988">
      <c r="C988" s="35"/>
    </row>
    <row r="989">
      <c r="C989" s="35"/>
    </row>
    <row r="990">
      <c r="C990" s="35"/>
    </row>
    <row r="991">
      <c r="C991" s="35"/>
    </row>
    <row r="992">
      <c r="C992" s="35"/>
    </row>
    <row r="993">
      <c r="C993" s="35"/>
    </row>
    <row r="994">
      <c r="C994" s="35"/>
    </row>
    <row r="995">
      <c r="C995" s="35"/>
    </row>
    <row r="996">
      <c r="C996" s="35"/>
    </row>
    <row r="997">
      <c r="C997" s="35"/>
    </row>
    <row r="998">
      <c r="C998" s="35"/>
    </row>
    <row r="999">
      <c r="C999" s="35"/>
    </row>
    <row r="1000">
      <c r="C1000" s="35"/>
    </row>
  </sheetData>
  <printOptions/>
  <pageMargins bottom="0.75" footer="0.0" header="0.0" left="0.7" right="0.7" top="0.75"/>
  <pageSetup paperSize="3" orientation="landscape"/>
  <drawing r:id="rId1"/>
</worksheet>
</file>